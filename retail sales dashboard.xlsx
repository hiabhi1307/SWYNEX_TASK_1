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1a41a9488388f/Desktop/"/>
    </mc:Choice>
  </mc:AlternateContent>
  <xr:revisionPtr revIDLastSave="0" documentId="8_{396B2F32-E1A1-44FA-AFB8-B39AB1107E31}" xr6:coauthVersionLast="47" xr6:coauthVersionMax="47" xr10:uidLastSave="{00000000-0000-0000-0000-000000000000}"/>
  <bookViews>
    <workbookView xWindow="-108" yWindow="-108" windowWidth="23256" windowHeight="12456" firstSheet="1" activeTab="6" xr2:uid="{54E2B550-247E-4E9A-8808-BB890CAD3C1F}"/>
  </bookViews>
  <sheets>
    <sheet name="MONTHLY SALES" sheetId="6" r:id="rId1"/>
    <sheet name="CITY WISE" sheetId="7" r:id="rId2"/>
    <sheet name="CATEGORY" sheetId="8" r:id="rId3"/>
    <sheet name="ORDER STATUS" sheetId="9" r:id="rId4"/>
    <sheet name="PRODUCT SALES" sheetId="10" r:id="rId5"/>
    <sheet name="Raw_Data" sheetId="2" r:id="rId6"/>
    <sheet name="DASHBOARD" sheetId="1" r:id="rId7"/>
  </sheets>
  <definedNames>
    <definedName name="ExternalData_1" localSheetId="5" hidden="1">'Raw_Data'!$A$1:$L$415</definedName>
  </definedNames>
  <calcPr calcId="191029"/>
  <pivotCaches>
    <pivotCache cacheId="3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H5" i="1"/>
  <c r="B5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4FCF23-5B45-4299-9D66-C67F5E66A189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<sst xmlns="http://schemas.openxmlformats.org/spreadsheetml/2006/main" count="3377" uniqueCount="747">
  <si>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</si>
  <si>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</si>
  <si>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</si>
  <si>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</si>
  <si>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</si>
  <si>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</si>
  <si>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</si>
  <si>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</si>
  <si>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Sales</t>
  </si>
  <si>
    <t>Payment_Method</t>
  </si>
  <si>
    <t>Order_Status</t>
  </si>
  <si>
    <t>ORD0001</t>
  </si>
  <si>
    <t>2025-05-21</t>
  </si>
  <si>
    <t>Neha Gupta</t>
  </si>
  <si>
    <t>Kanpur</t>
  </si>
  <si>
    <t>Keyboard</t>
  </si>
  <si>
    <t>Accessories</t>
  </si>
  <si>
    <t>Credit Card</t>
  </si>
  <si>
    <t>Completed</t>
  </si>
  <si>
    <t>Rohan Patel</t>
  </si>
  <si>
    <t>Lucknow</t>
  </si>
  <si>
    <t>Notebook Set</t>
  </si>
  <si>
    <t>Stationery</t>
  </si>
  <si>
    <t>UPI</t>
  </si>
  <si>
    <t>2025-09-16</t>
  </si>
  <si>
    <t>Aarav Sharma</t>
  </si>
  <si>
    <t>Webcam</t>
  </si>
  <si>
    <t>Electronics</t>
  </si>
  <si>
    <t>Net Banking</t>
  </si>
  <si>
    <t>Returned</t>
  </si>
  <si>
    <t>2025-10-29</t>
  </si>
  <si>
    <t>Amit Yadav</t>
  </si>
  <si>
    <t>2025-03-21</t>
  </si>
  <si>
    <t>Noida</t>
  </si>
  <si>
    <t>Laptop Stand</t>
  </si>
  <si>
    <t>2025-07-03</t>
  </si>
  <si>
    <t>Sneha Mishra</t>
  </si>
  <si>
    <t>Varanasi</t>
  </si>
  <si>
    <t>Monitor</t>
  </si>
  <si>
    <t>Priya Verma</t>
  </si>
  <si>
    <t>2025-12-27</t>
  </si>
  <si>
    <t>Office Chair</t>
  </si>
  <si>
    <t>Furniture</t>
  </si>
  <si>
    <t>2025-02-21</t>
  </si>
  <si>
    <t>Cash</t>
  </si>
  <si>
    <t>2025-07-01</t>
  </si>
  <si>
    <t>USB-C Hub</t>
  </si>
  <si>
    <t>Pending</t>
  </si>
  <si>
    <t>2025-05-06</t>
  </si>
  <si>
    <t>Rahul Singh</t>
  </si>
  <si>
    <t>Bhopal</t>
  </si>
  <si>
    <t>2025-12-17</t>
  </si>
  <si>
    <t>Ananya Das</t>
  </si>
  <si>
    <t>Jaipur</t>
  </si>
  <si>
    <t>Debit Card</t>
  </si>
  <si>
    <t>2025-10-03</t>
  </si>
  <si>
    <t>Patna</t>
  </si>
  <si>
    <t>2025-03-12</t>
  </si>
  <si>
    <t>Delhi</t>
  </si>
  <si>
    <t>2025-12-15</t>
  </si>
  <si>
    <t>ORD0018</t>
  </si>
  <si>
    <t>2025-09-28</t>
  </si>
  <si>
    <t>2025-02-27</t>
  </si>
  <si>
    <t>Headphones</t>
  </si>
  <si>
    <t>2025-09-14</t>
  </si>
  <si>
    <t>Wireless Mouse</t>
  </si>
  <si>
    <t>2025-03-20</t>
  </si>
  <si>
    <t>2025-06-15</t>
  </si>
  <si>
    <t>2025-01-30</t>
  </si>
  <si>
    <t>2025-03-06</t>
  </si>
  <si>
    <t>2025-11-07</t>
  </si>
  <si>
    <t>2025-12-10</t>
  </si>
  <si>
    <t>2025-04-26</t>
  </si>
  <si>
    <t>2025-01-17</t>
  </si>
  <si>
    <t>2025-02-18</t>
  </si>
  <si>
    <t>2025-04-09</t>
  </si>
  <si>
    <t>2025-08-25</t>
  </si>
  <si>
    <t>2025-11-30</t>
  </si>
  <si>
    <t>2025-02-01</t>
  </si>
  <si>
    <t>2025-09-29</t>
  </si>
  <si>
    <t>Desk Lamp</t>
  </si>
  <si>
    <t>Home Office</t>
  </si>
  <si>
    <t>2025-10-24</t>
  </si>
  <si>
    <t>2025-06-11</t>
  </si>
  <si>
    <t>2025-03-09</t>
  </si>
  <si>
    <t>2025-11-06</t>
  </si>
  <si>
    <t>2025-05-09</t>
  </si>
  <si>
    <t>2025-06-20</t>
  </si>
  <si>
    <t>2025-10-15</t>
  </si>
  <si>
    <t>2025-07-09</t>
  </si>
  <si>
    <t>2025-01-21</t>
  </si>
  <si>
    <t>2025-07-28</t>
  </si>
  <si>
    <t>2025-06-06</t>
  </si>
  <si>
    <t>2025-05-23</t>
  </si>
  <si>
    <t>2025-01-20</t>
  </si>
  <si>
    <t>2025-09-19</t>
  </si>
  <si>
    <t>2025-12-29</t>
  </si>
  <si>
    <t>ORD0064</t>
  </si>
  <si>
    <t>2025-08-09</t>
  </si>
  <si>
    <t>2025-03-07</t>
  </si>
  <si>
    <t>2025-06-04</t>
  </si>
  <si>
    <t>ORD0068</t>
  </si>
  <si>
    <t>2025-08-31</t>
  </si>
  <si>
    <t>2025-02-17</t>
  </si>
  <si>
    <t>2025-01-24</t>
  </si>
  <si>
    <t>2025-08-17</t>
  </si>
  <si>
    <t>2025-05-01</t>
  </si>
  <si>
    <t>2025-09-06</t>
  </si>
  <si>
    <t>2025-11-26</t>
  </si>
  <si>
    <t>ORD0087</t>
  </si>
  <si>
    <t>ORD0088</t>
  </si>
  <si>
    <t>2025-01-27</t>
  </si>
  <si>
    <t>ORD0089</t>
  </si>
  <si>
    <t>2025-04-13</t>
  </si>
  <si>
    <t>ORD0090</t>
  </si>
  <si>
    <t>2025-10-16</t>
  </si>
  <si>
    <t>ORD0091</t>
  </si>
  <si>
    <t>ORD0092</t>
  </si>
  <si>
    <t>2025-06-09</t>
  </si>
  <si>
    <t>ORD0093</t>
  </si>
  <si>
    <t>2025-02-22</t>
  </si>
  <si>
    <t>ORD0094</t>
  </si>
  <si>
    <t>2025-08-08</t>
  </si>
  <si>
    <t>ORD0095</t>
  </si>
  <si>
    <t>2025-09-08</t>
  </si>
  <si>
    <t>ORD0096</t>
  </si>
  <si>
    <t>2025-04-01</t>
  </si>
  <si>
    <t>ORD0097</t>
  </si>
  <si>
    <t>ORD0098</t>
  </si>
  <si>
    <t>2025-10-19</t>
  </si>
  <si>
    <t>ORD0099</t>
  </si>
  <si>
    <t>2025-09-07</t>
  </si>
  <si>
    <t>ORD0100</t>
  </si>
  <si>
    <t>2025-12-26</t>
  </si>
  <si>
    <t>ORD0101</t>
  </si>
  <si>
    <t>ORD0102</t>
  </si>
  <si>
    <t>ORD0103</t>
  </si>
  <si>
    <t>2025-07-08</t>
  </si>
  <si>
    <t>ORD0104</t>
  </si>
  <si>
    <t>ORD0105</t>
  </si>
  <si>
    <t>ORD0106</t>
  </si>
  <si>
    <t>2025-09-05</t>
  </si>
  <si>
    <t>ORD0107</t>
  </si>
  <si>
    <t>2025-07-04</t>
  </si>
  <si>
    <t>ORD0108</t>
  </si>
  <si>
    <t>ORD0109</t>
  </si>
  <si>
    <t>2025-10-21</t>
  </si>
  <si>
    <t>ORD0110</t>
  </si>
  <si>
    <t>ORD0111</t>
  </si>
  <si>
    <t>2025-02-07</t>
  </si>
  <si>
    <t>ORD0112</t>
  </si>
  <si>
    <t>2025-05-08</t>
  </si>
  <si>
    <t>ORD0113</t>
  </si>
  <si>
    <t>2025-09-25</t>
  </si>
  <si>
    <t>ORD0114</t>
  </si>
  <si>
    <t>ORD0115</t>
  </si>
  <si>
    <t>2025-03-22</t>
  </si>
  <si>
    <t>ORD0116</t>
  </si>
  <si>
    <t>2025-07-29</t>
  </si>
  <si>
    <t>ORD0117</t>
  </si>
  <si>
    <t>2025-12-28</t>
  </si>
  <si>
    <t xml:space="preserve">completed </t>
  </si>
  <si>
    <t>ORD0118</t>
  </si>
  <si>
    <t>2025-12-05</t>
  </si>
  <si>
    <t>ORD0119</t>
  </si>
  <si>
    <t>2025-05-17</t>
  </si>
  <si>
    <t>ORD0120</t>
  </si>
  <si>
    <t>ORD0121</t>
  </si>
  <si>
    <t>2025-05-20</t>
  </si>
  <si>
    <t>ORD0122</t>
  </si>
  <si>
    <t>ORD0123</t>
  </si>
  <si>
    <t>2025-01-11</t>
  </si>
  <si>
    <t>ORD0124</t>
  </si>
  <si>
    <t>ORD0125</t>
  </si>
  <si>
    <t>ORD0126</t>
  </si>
  <si>
    <t>2025-12-22</t>
  </si>
  <si>
    <t>ORD0127</t>
  </si>
  <si>
    <t>2025-02-15</t>
  </si>
  <si>
    <t>ORD0128</t>
  </si>
  <si>
    <t>2025-01-01</t>
  </si>
  <si>
    <t>ORD0130</t>
  </si>
  <si>
    <t>ORD0131</t>
  </si>
  <si>
    <t>2025-05-03</t>
  </si>
  <si>
    <t>ORD0132</t>
  </si>
  <si>
    <t>ORD0133</t>
  </si>
  <si>
    <t>2025-05-30</t>
  </si>
  <si>
    <t>ORD0134</t>
  </si>
  <si>
    <t>2025-10-10</t>
  </si>
  <si>
    <t>ORD0135</t>
  </si>
  <si>
    <t>2025-02-05</t>
  </si>
  <si>
    <t>ORD0136</t>
  </si>
  <si>
    <t>2025-05-25</t>
  </si>
  <si>
    <t>ORD0137</t>
  </si>
  <si>
    <t>2025-06-26</t>
  </si>
  <si>
    <t>ORD0138</t>
  </si>
  <si>
    <t>2025-10-20</t>
  </si>
  <si>
    <t>ORD0139</t>
  </si>
  <si>
    <t>ORD0140</t>
  </si>
  <si>
    <t>2025-09-15</t>
  </si>
  <si>
    <t>ORD0141</t>
  </si>
  <si>
    <t>2025-01-08</t>
  </si>
  <si>
    <t>ORD0142</t>
  </si>
  <si>
    <t>2025-06-23</t>
  </si>
  <si>
    <t>ORD0143</t>
  </si>
  <si>
    <t>2025-11-17</t>
  </si>
  <si>
    <t>ORD0144</t>
  </si>
  <si>
    <t>2025-04-27</t>
  </si>
  <si>
    <t>ORD0145</t>
  </si>
  <si>
    <t>ORD0146</t>
  </si>
  <si>
    <t>ORD0147</t>
  </si>
  <si>
    <t>2025-10-17</t>
  </si>
  <si>
    <t>ORD0148</t>
  </si>
  <si>
    <t>2025-11-14</t>
  </si>
  <si>
    <t>ORD0149</t>
  </si>
  <si>
    <t>2025-11-23</t>
  </si>
  <si>
    <t>ORD0150</t>
  </si>
  <si>
    <t>2025-12-13</t>
  </si>
  <si>
    <t>ORD0151</t>
  </si>
  <si>
    <t>2025-11-24</t>
  </si>
  <si>
    <t>ORD0152</t>
  </si>
  <si>
    <t>ORD0153</t>
  </si>
  <si>
    <t>2025-06-01</t>
  </si>
  <si>
    <t>ORD0154</t>
  </si>
  <si>
    <t>2025-12-18</t>
  </si>
  <si>
    <t>ORD0155</t>
  </si>
  <si>
    <t>2025-04-23</t>
  </si>
  <si>
    <t>ORD0156</t>
  </si>
  <si>
    <t>2025-08-14</t>
  </si>
  <si>
    <t>ORD0157</t>
  </si>
  <si>
    <t>2025-08-01</t>
  </si>
  <si>
    <t>ORD0158</t>
  </si>
  <si>
    <t>ORD0159</t>
  </si>
  <si>
    <t>2025-02-28</t>
  </si>
  <si>
    <t>ORD0160</t>
  </si>
  <si>
    <t>2025-07-07</t>
  </si>
  <si>
    <t>ORD0161</t>
  </si>
  <si>
    <t>2025-08-21</t>
  </si>
  <si>
    <t>ORD0162</t>
  </si>
  <si>
    <t>2025-12-12</t>
  </si>
  <si>
    <t>ORD0163</t>
  </si>
  <si>
    <t>2025-11-09</t>
  </si>
  <si>
    <t>ORD0164</t>
  </si>
  <si>
    <t>2025-03-13</t>
  </si>
  <si>
    <t>ORD0165</t>
  </si>
  <si>
    <t>ORD0166</t>
  </si>
  <si>
    <t>2025-10-28</t>
  </si>
  <si>
    <t>ORD0167</t>
  </si>
  <si>
    <t>2025-05-24</t>
  </si>
  <si>
    <t>ORD0168</t>
  </si>
  <si>
    <t>2025-07-05</t>
  </si>
  <si>
    <t>ORD0169</t>
  </si>
  <si>
    <t>2025-05-22</t>
  </si>
  <si>
    <t>ORD0170</t>
  </si>
  <si>
    <t>ORD0171</t>
  </si>
  <si>
    <t>ORD0172</t>
  </si>
  <si>
    <t>2025-01-02</t>
  </si>
  <si>
    <t>ORD0173</t>
  </si>
  <si>
    <t>2025-02-26</t>
  </si>
  <si>
    <t>ORD0174</t>
  </si>
  <si>
    <t>ORD0175</t>
  </si>
  <si>
    <t>2025-09-27</t>
  </si>
  <si>
    <t>ORD0176</t>
  </si>
  <si>
    <t>2025-10-31</t>
  </si>
  <si>
    <t>ORD0177</t>
  </si>
  <si>
    <t>2025-12-04</t>
  </si>
  <si>
    <t>ORD0178</t>
  </si>
  <si>
    <t>2025-08-07</t>
  </si>
  <si>
    <t>ORD0179</t>
  </si>
  <si>
    <t>2025-11-08</t>
  </si>
  <si>
    <t>ORD0180</t>
  </si>
  <si>
    <t>2025-10-08</t>
  </si>
  <si>
    <t>ORD0181</t>
  </si>
  <si>
    <t>ORD0182</t>
  </si>
  <si>
    <t>2025-08-20</t>
  </si>
  <si>
    <t>ORD0183</t>
  </si>
  <si>
    <t>ORD0184</t>
  </si>
  <si>
    <t>ORD0185</t>
  </si>
  <si>
    <t>2025-02-19</t>
  </si>
  <si>
    <t>ORD0186</t>
  </si>
  <si>
    <t>ORD0187</t>
  </si>
  <si>
    <t>2025-05-28</t>
  </si>
  <si>
    <t>ORD0188</t>
  </si>
  <si>
    <t>ORD0189</t>
  </si>
  <si>
    <t>ORD0190</t>
  </si>
  <si>
    <t>ORD0191</t>
  </si>
  <si>
    <t>ORD0192</t>
  </si>
  <si>
    <t>ORD0193</t>
  </si>
  <si>
    <t>2025-08-03</t>
  </si>
  <si>
    <t>ORD0194</t>
  </si>
  <si>
    <t>2025-10-18</t>
  </si>
  <si>
    <t>accessories</t>
  </si>
  <si>
    <t>ORD0195</t>
  </si>
  <si>
    <t>ORD0196</t>
  </si>
  <si>
    <t>2025-08-15</t>
  </si>
  <si>
    <t>ORD0197</t>
  </si>
  <si>
    <t>ORD0198</t>
  </si>
  <si>
    <t>ORD0199</t>
  </si>
  <si>
    <t>ORD0200</t>
  </si>
  <si>
    <t>2025-01-04</t>
  </si>
  <si>
    <t>ORD0201</t>
  </si>
  <si>
    <t>ORD0202</t>
  </si>
  <si>
    <t>2025-01-10</t>
  </si>
  <si>
    <t>ORD0203</t>
  </si>
  <si>
    <t>2025-07-27</t>
  </si>
  <si>
    <t>ORD0204</t>
  </si>
  <si>
    <t>2025-03-29</t>
  </si>
  <si>
    <t>ORD0205</t>
  </si>
  <si>
    <t>2025-08-12</t>
  </si>
  <si>
    <t>ORD0206</t>
  </si>
  <si>
    <t>ORD0207</t>
  </si>
  <si>
    <t>2025-04-10</t>
  </si>
  <si>
    <t>ORD0208</t>
  </si>
  <si>
    <t>2025-05-12</t>
  </si>
  <si>
    <t>ORD0209</t>
  </si>
  <si>
    <t>2025-11-18</t>
  </si>
  <si>
    <t>ORD0210</t>
  </si>
  <si>
    <t>ORD0211</t>
  </si>
  <si>
    <t>ORD0212</t>
  </si>
  <si>
    <t>ORD0213</t>
  </si>
  <si>
    <t>2025-05-27</t>
  </si>
  <si>
    <t>ORD0214</t>
  </si>
  <si>
    <t>ORD0215</t>
  </si>
  <si>
    <t>2025-09-01</t>
  </si>
  <si>
    <t>ORD0216</t>
  </si>
  <si>
    <t>ORD0217</t>
  </si>
  <si>
    <t>ORD0218</t>
  </si>
  <si>
    <t>ORD0219</t>
  </si>
  <si>
    <t>2025-12-14</t>
  </si>
  <si>
    <t>ORD0220</t>
  </si>
  <si>
    <t>2025-02-11</t>
  </si>
  <si>
    <t>ORD0221</t>
  </si>
  <si>
    <t>ORD0222</t>
  </si>
  <si>
    <t>ORD0223</t>
  </si>
  <si>
    <t>2025-06-08</t>
  </si>
  <si>
    <t>ORD0224</t>
  </si>
  <si>
    <t>ORD0225</t>
  </si>
  <si>
    <t>ORD0226</t>
  </si>
  <si>
    <t>ORD0227</t>
  </si>
  <si>
    <t>2025-07-30</t>
  </si>
  <si>
    <t>ORD0228</t>
  </si>
  <si>
    <t>2025-04-30</t>
  </si>
  <si>
    <t>ORD0229</t>
  </si>
  <si>
    <t>ORD0230</t>
  </si>
  <si>
    <t>2025-03-24</t>
  </si>
  <si>
    <t>ORD0231</t>
  </si>
  <si>
    <t>2025-10-11</t>
  </si>
  <si>
    <t>ORD0232</t>
  </si>
  <si>
    <t>2025-08-19</t>
  </si>
  <si>
    <t>ORD0233</t>
  </si>
  <si>
    <t>2025-01-14</t>
  </si>
  <si>
    <t>ORD0234</t>
  </si>
  <si>
    <t>2025-07-17</t>
  </si>
  <si>
    <t>ORD0235</t>
  </si>
  <si>
    <t>2025-11-29</t>
  </si>
  <si>
    <t>ORD0236</t>
  </si>
  <si>
    <t>2025-12-23</t>
  </si>
  <si>
    <t>ORD0237</t>
  </si>
  <si>
    <t>ORD0238</t>
  </si>
  <si>
    <t>2025-08-05</t>
  </si>
  <si>
    <t>ORD0239</t>
  </si>
  <si>
    <t>ORD0240</t>
  </si>
  <si>
    <t>2025-10-02</t>
  </si>
  <si>
    <t>ORD0241</t>
  </si>
  <si>
    <t>2025-11-11</t>
  </si>
  <si>
    <t>ORD0242</t>
  </si>
  <si>
    <t>2025-09-26</t>
  </si>
  <si>
    <t>ORD0243</t>
  </si>
  <si>
    <t>ORD0244</t>
  </si>
  <si>
    <t>2025-05-10</t>
  </si>
  <si>
    <t>ORD0245</t>
  </si>
  <si>
    <t>2025-10-25</t>
  </si>
  <si>
    <t>ORD0246</t>
  </si>
  <si>
    <t>ORD0247</t>
  </si>
  <si>
    <t>2025-08-23</t>
  </si>
  <si>
    <t>ORD0248</t>
  </si>
  <si>
    <t>ORD0249</t>
  </si>
  <si>
    <t>2025-11-28</t>
  </si>
  <si>
    <t>ORD0250</t>
  </si>
  <si>
    <t>2025-03-05</t>
  </si>
  <si>
    <t>ORD0251</t>
  </si>
  <si>
    <t>2025-04-06</t>
  </si>
  <si>
    <t>ORD0252</t>
  </si>
  <si>
    <t>2025-08-06</t>
  </si>
  <si>
    <t>ORD0253</t>
  </si>
  <si>
    <t>2025-06-14</t>
  </si>
  <si>
    <t>ORD0254</t>
  </si>
  <si>
    <t>2025-11-05</t>
  </si>
  <si>
    <t>ORD0255</t>
  </si>
  <si>
    <t>2025-06-30</t>
  </si>
  <si>
    <t>ORD0256</t>
  </si>
  <si>
    <t>2025-09-20</t>
  </si>
  <si>
    <t>ORD0257</t>
  </si>
  <si>
    <t>ORD0258</t>
  </si>
  <si>
    <t>ORD0259</t>
  </si>
  <si>
    <t>ORD0260</t>
  </si>
  <si>
    <t>ORD0261</t>
  </si>
  <si>
    <t>2025-03-02</t>
  </si>
  <si>
    <t>ORD0262</t>
  </si>
  <si>
    <t>ORD0263</t>
  </si>
  <si>
    <t>2025-03-30</t>
  </si>
  <si>
    <t>ORD0264</t>
  </si>
  <si>
    <t>2025-10-05</t>
  </si>
  <si>
    <t>ORD0265</t>
  </si>
  <si>
    <t>2025-04-25</t>
  </si>
  <si>
    <t>ORD0266</t>
  </si>
  <si>
    <t>ORD0267</t>
  </si>
  <si>
    <t>2025-02-03</t>
  </si>
  <si>
    <t>ORD0268</t>
  </si>
  <si>
    <t>2025-10-22</t>
  </si>
  <si>
    <t>ORD0269</t>
  </si>
  <si>
    <t>ORD0270</t>
  </si>
  <si>
    <t>2025-08-10</t>
  </si>
  <si>
    <t>ORD0271</t>
  </si>
  <si>
    <t>ORD0272</t>
  </si>
  <si>
    <t>ORD0273</t>
  </si>
  <si>
    <t>ORD0274</t>
  </si>
  <si>
    <t>ORD0275</t>
  </si>
  <si>
    <t>ORD0276</t>
  </si>
  <si>
    <t>2025-05-29</t>
  </si>
  <si>
    <t>ORD0278</t>
  </si>
  <si>
    <t>2025-04-15</t>
  </si>
  <si>
    <t>ORD0279</t>
  </si>
  <si>
    <t>2025-03-08</t>
  </si>
  <si>
    <t>ORD0280</t>
  </si>
  <si>
    <t>ORD0281</t>
  </si>
  <si>
    <t>2025-07-16</t>
  </si>
  <si>
    <t>ORD0282</t>
  </si>
  <si>
    <t>2025-04-08</t>
  </si>
  <si>
    <t>ORD0283</t>
  </si>
  <si>
    <t>2025-09-12</t>
  </si>
  <si>
    <t>ORD0284</t>
  </si>
  <si>
    <t>2025-04-21</t>
  </si>
  <si>
    <t>ORD0285</t>
  </si>
  <si>
    <t>2025-12-01</t>
  </si>
  <si>
    <t>ORD0286</t>
  </si>
  <si>
    <t>2025-03-10</t>
  </si>
  <si>
    <t>ORD0287</t>
  </si>
  <si>
    <t>ORD0288</t>
  </si>
  <si>
    <t>ORD0289</t>
  </si>
  <si>
    <t>ORD0290</t>
  </si>
  <si>
    <t>2025-04-12</t>
  </si>
  <si>
    <t>ORD0291</t>
  </si>
  <si>
    <t>ORD0292</t>
  </si>
  <si>
    <t>2025-11-10</t>
  </si>
  <si>
    <t>ORD0293</t>
  </si>
  <si>
    <t>2025-06-22</t>
  </si>
  <si>
    <t>ORD0294</t>
  </si>
  <si>
    <t>2025-12-11</t>
  </si>
  <si>
    <t>ORD0295</t>
  </si>
  <si>
    <t>ORD0296</t>
  </si>
  <si>
    <t>ORD0297</t>
  </si>
  <si>
    <t>ORD0298</t>
  </si>
  <si>
    <t>2025-12-20</t>
  </si>
  <si>
    <t>ORD0299</t>
  </si>
  <si>
    <t>ORD0300</t>
  </si>
  <si>
    <t>2025-07-12</t>
  </si>
  <si>
    <t>ORD0301</t>
  </si>
  <si>
    <t>ORD0302</t>
  </si>
  <si>
    <t>2025-06-02</t>
  </si>
  <si>
    <t>ORD0303</t>
  </si>
  <si>
    <t>2025-09-03</t>
  </si>
  <si>
    <t>ORD0304</t>
  </si>
  <si>
    <t>2025-07-14</t>
  </si>
  <si>
    <t>ORD0305</t>
  </si>
  <si>
    <t>2025-02-10</t>
  </si>
  <si>
    <t>ORD0306</t>
  </si>
  <si>
    <t>ORD0307</t>
  </si>
  <si>
    <t>ORD0308</t>
  </si>
  <si>
    <t>ORD0309</t>
  </si>
  <si>
    <t>2025-10-09</t>
  </si>
  <si>
    <t>ORD0310</t>
  </si>
  <si>
    <t>ORD0311</t>
  </si>
  <si>
    <t>ORD0312</t>
  </si>
  <si>
    <t>ORD0313</t>
  </si>
  <si>
    <t>2025-02-24</t>
  </si>
  <si>
    <t>ORD0314</t>
  </si>
  <si>
    <t>ORD0315</t>
  </si>
  <si>
    <t>ORD0316</t>
  </si>
  <si>
    <t>ORD0317</t>
  </si>
  <si>
    <t>2025-06-17</t>
  </si>
  <si>
    <t>ORD0318</t>
  </si>
  <si>
    <t>ORD0319</t>
  </si>
  <si>
    <t>ORD0320</t>
  </si>
  <si>
    <t>ORD0321</t>
  </si>
  <si>
    <t>2025-03-23</t>
  </si>
  <si>
    <t>ORD0322</t>
  </si>
  <si>
    <t>2025-04-24</t>
  </si>
  <si>
    <t>ORD0323</t>
  </si>
  <si>
    <t>2025-07-11</t>
  </si>
  <si>
    <t>ORD0324</t>
  </si>
  <si>
    <t>ORD0325</t>
  </si>
  <si>
    <t>ORD0326</t>
  </si>
  <si>
    <t>2025-03-01</t>
  </si>
  <si>
    <t>ORD0327</t>
  </si>
  <si>
    <t>ORD0328</t>
  </si>
  <si>
    <t>ORD0329</t>
  </si>
  <si>
    <t>ORD0330</t>
  </si>
  <si>
    <t>2025-01-31</t>
  </si>
  <si>
    <t>ORD0331</t>
  </si>
  <si>
    <t>ORD0332</t>
  </si>
  <si>
    <t>ORD0333</t>
  </si>
  <si>
    <t>ORD0334</t>
  </si>
  <si>
    <t>ORD0335</t>
  </si>
  <si>
    <t>ORD0336</t>
  </si>
  <si>
    <t>2025-01-09</t>
  </si>
  <si>
    <t>ORD0337</t>
  </si>
  <si>
    <t>ORD0338</t>
  </si>
  <si>
    <t>2025-10-04</t>
  </si>
  <si>
    <t>ORD0339</t>
  </si>
  <si>
    <t>ORD0340</t>
  </si>
  <si>
    <t>ORD0341</t>
  </si>
  <si>
    <t>2025-03-31</t>
  </si>
  <si>
    <t>ORD0342</t>
  </si>
  <si>
    <t>2025-06-13</t>
  </si>
  <si>
    <t>ORD0343</t>
  </si>
  <si>
    <t>ORD0344</t>
  </si>
  <si>
    <t>ORD0345</t>
  </si>
  <si>
    <t>2025-05-05</t>
  </si>
  <si>
    <t>ORD0346</t>
  </si>
  <si>
    <t>ORD0347</t>
  </si>
  <si>
    <t>ORD0348</t>
  </si>
  <si>
    <t>2025-04-17</t>
  </si>
  <si>
    <t>ORD0349</t>
  </si>
  <si>
    <t>ORD0350</t>
  </si>
  <si>
    <t>ORD0351</t>
  </si>
  <si>
    <t>ORD0352</t>
  </si>
  <si>
    <t>ORD0353</t>
  </si>
  <si>
    <t>ORD0354</t>
  </si>
  <si>
    <t>2025-04-28</t>
  </si>
  <si>
    <t>ORD0355</t>
  </si>
  <si>
    <t>ORD0356</t>
  </si>
  <si>
    <t>2025-10-07</t>
  </si>
  <si>
    <t>ORD0357</t>
  </si>
  <si>
    <t>2025-02-08</t>
  </si>
  <si>
    <t>ORD0358</t>
  </si>
  <si>
    <t>ORD0359</t>
  </si>
  <si>
    <t>ORD0360</t>
  </si>
  <si>
    <t>ORD0361</t>
  </si>
  <si>
    <t>ORD0362</t>
  </si>
  <si>
    <t>2025-05-04</t>
  </si>
  <si>
    <t>ORD0363</t>
  </si>
  <si>
    <t xml:space="preserve">  Neha Gupta </t>
  </si>
  <si>
    <t>ORD0364</t>
  </si>
  <si>
    <t>ORD0365</t>
  </si>
  <si>
    <t>ORD0366</t>
  </si>
  <si>
    <t>2025-08-11</t>
  </si>
  <si>
    <t>ORD0367</t>
  </si>
  <si>
    <t>2025-12-21</t>
  </si>
  <si>
    <t>ORD0368</t>
  </si>
  <si>
    <t>ORD0369</t>
  </si>
  <si>
    <t>2025-03-15</t>
  </si>
  <si>
    <t>ORD0370</t>
  </si>
  <si>
    <t>ORD0371</t>
  </si>
  <si>
    <t>2025-06-27</t>
  </si>
  <si>
    <t>ORD0372</t>
  </si>
  <si>
    <t>ORD0373</t>
  </si>
  <si>
    <t>ORD0374</t>
  </si>
  <si>
    <t>2025-02-13</t>
  </si>
  <si>
    <t>ORD0375</t>
  </si>
  <si>
    <t>ORD0376</t>
  </si>
  <si>
    <t>2025-01-03</t>
  </si>
  <si>
    <t>ORD0377</t>
  </si>
  <si>
    <t>2025-02-14</t>
  </si>
  <si>
    <t>ORD0378</t>
  </si>
  <si>
    <t>ORD0379</t>
  </si>
  <si>
    <t>2025-11-02</t>
  </si>
  <si>
    <t>ORD0380</t>
  </si>
  <si>
    <t>ORD0381</t>
  </si>
  <si>
    <t>ORD0382</t>
  </si>
  <si>
    <t>ORD0383</t>
  </si>
  <si>
    <t>2025-05-07</t>
  </si>
  <si>
    <t>ORD0384</t>
  </si>
  <si>
    <t>ORD0385</t>
  </si>
  <si>
    <t>2025-06-21</t>
  </si>
  <si>
    <t>ORD0386</t>
  </si>
  <si>
    <t>ORD0387</t>
  </si>
  <si>
    <t>ORD0388</t>
  </si>
  <si>
    <t>ORD0389</t>
  </si>
  <si>
    <t>ORD0390</t>
  </si>
  <si>
    <t>ORD0391</t>
  </si>
  <si>
    <t>2025-11-03</t>
  </si>
  <si>
    <t>ORD0392</t>
  </si>
  <si>
    <t>2025-01-19</t>
  </si>
  <si>
    <t>ORD0393</t>
  </si>
  <si>
    <t>ORD0394</t>
  </si>
  <si>
    <t>2025-02-20</t>
  </si>
  <si>
    <t>ORD0395</t>
  </si>
  <si>
    <t>2025-12-19</t>
  </si>
  <si>
    <t>ORD0396</t>
  </si>
  <si>
    <t>ORD0397</t>
  </si>
  <si>
    <t>ORD0398</t>
  </si>
  <si>
    <t>2025-08-22</t>
  </si>
  <si>
    <t>ORD0399</t>
  </si>
  <si>
    <t>ORD0400</t>
  </si>
  <si>
    <t>2025-01-12</t>
  </si>
  <si>
    <t>ORD0401</t>
  </si>
  <si>
    <t>ORD0403</t>
  </si>
  <si>
    <t>ORD0404</t>
  </si>
  <si>
    <t>ORD0405</t>
  </si>
  <si>
    <t>2025-04-11</t>
  </si>
  <si>
    <t>ORD0406</t>
  </si>
  <si>
    <t>ORD0407</t>
  </si>
  <si>
    <t>ORD0408</t>
  </si>
  <si>
    <t>2025-06-10</t>
  </si>
  <si>
    <t>ORD0409</t>
  </si>
  <si>
    <t>ORD0410</t>
  </si>
  <si>
    <t>ORD0411</t>
  </si>
  <si>
    <t>2025-03-27</t>
  </si>
  <si>
    <t>ORD0412</t>
  </si>
  <si>
    <t>ORD0413</t>
  </si>
  <si>
    <t>ORD0414</t>
  </si>
  <si>
    <t>ORD0415</t>
  </si>
  <si>
    <t>ORD0416</t>
  </si>
  <si>
    <t>ORD0417</t>
  </si>
  <si>
    <t>2025-01-22</t>
  </si>
  <si>
    <t>ORD0418</t>
  </si>
  <si>
    <t>ORD0419</t>
  </si>
  <si>
    <t>2025-05-02</t>
  </si>
  <si>
    <t>ORD0420</t>
  </si>
  <si>
    <t>ORD0421</t>
  </si>
  <si>
    <t>ORD0422</t>
  </si>
  <si>
    <t>2025-09-21</t>
  </si>
  <si>
    <t>ORD0423</t>
  </si>
  <si>
    <t>ORD0424</t>
  </si>
  <si>
    <t>ORD0425</t>
  </si>
  <si>
    <t>2025-11-21</t>
  </si>
  <si>
    <t>ORD0426</t>
  </si>
  <si>
    <t>ORD0427</t>
  </si>
  <si>
    <t>2025-10-01</t>
  </si>
  <si>
    <t>ORD0428</t>
  </si>
  <si>
    <t>ORD0429</t>
  </si>
  <si>
    <t>ORD0430</t>
  </si>
  <si>
    <t>ORD0431</t>
  </si>
  <si>
    <t>ORD0432</t>
  </si>
  <si>
    <t>ORD0433</t>
  </si>
  <si>
    <t>2025-12-25</t>
  </si>
  <si>
    <t>ORD0434</t>
  </si>
  <si>
    <t>2025-09-02</t>
  </si>
  <si>
    <t>ORD0435</t>
  </si>
  <si>
    <t>2025-01-05</t>
  </si>
  <si>
    <t>ORD0436</t>
  </si>
  <si>
    <t>2025-02-06</t>
  </si>
  <si>
    <t>ORD0437</t>
  </si>
  <si>
    <t>ORD0438</t>
  </si>
  <si>
    <t>ORD0439</t>
  </si>
  <si>
    <t>ORD0440</t>
  </si>
  <si>
    <t>ORD0441</t>
  </si>
  <si>
    <t>ORD0442</t>
  </si>
  <si>
    <t>2025-05-26</t>
  </si>
  <si>
    <t>ORD0443</t>
  </si>
  <si>
    <t>2025-04-07</t>
  </si>
  <si>
    <t>ORD0444</t>
  </si>
  <si>
    <t>ORD0445</t>
  </si>
  <si>
    <t>DELHI</t>
  </si>
  <si>
    <t>ORD0446</t>
  </si>
  <si>
    <t>ORD0447</t>
  </si>
  <si>
    <t>ORD0448</t>
  </si>
  <si>
    <t>ORD0449</t>
  </si>
  <si>
    <t>2025-11-12</t>
  </si>
  <si>
    <t>ORD0450</t>
  </si>
  <si>
    <t>ORD0451</t>
  </si>
  <si>
    <t>2025-12-24</t>
  </si>
  <si>
    <t>ORD0452</t>
  </si>
  <si>
    <t>ORD0453</t>
  </si>
  <si>
    <t>ORD0454</t>
  </si>
  <si>
    <t>2025-09-22</t>
  </si>
  <si>
    <t>ORD0455</t>
  </si>
  <si>
    <t>2025-01-16</t>
  </si>
  <si>
    <t>ORD0456</t>
  </si>
  <si>
    <t>2025-12-31</t>
  </si>
  <si>
    <t>ORD0457</t>
  </si>
  <si>
    <t>2025-09-13</t>
  </si>
  <si>
    <t>ORD0458</t>
  </si>
  <si>
    <t>ORD0459</t>
  </si>
  <si>
    <t>ORD0460</t>
  </si>
  <si>
    <t>ORD0461</t>
  </si>
  <si>
    <t>2025-05-19</t>
  </si>
  <si>
    <t>ORD0462</t>
  </si>
  <si>
    <t>ORD0463</t>
  </si>
  <si>
    <t>ORD0464</t>
  </si>
  <si>
    <t>ORD0465</t>
  </si>
  <si>
    <t>ORD0466</t>
  </si>
  <si>
    <t>ORD0467</t>
  </si>
  <si>
    <t>2025-02-23</t>
  </si>
  <si>
    <t>ORD0469</t>
  </si>
  <si>
    <t>ORD0470</t>
  </si>
  <si>
    <t>ORD0471</t>
  </si>
  <si>
    <t>2025-12-06</t>
  </si>
  <si>
    <t>ORD0472</t>
  </si>
  <si>
    <t>ORD0473</t>
  </si>
  <si>
    <t>2025-04-14</t>
  </si>
  <si>
    <t>ORD0474</t>
  </si>
  <si>
    <t>2025-08-27</t>
  </si>
  <si>
    <t>ORD0475</t>
  </si>
  <si>
    <t>ORD0476</t>
  </si>
  <si>
    <t>ORD0477</t>
  </si>
  <si>
    <t>ORD0478</t>
  </si>
  <si>
    <t>2025-05-14</t>
  </si>
  <si>
    <t>ORD0479</t>
  </si>
  <si>
    <t>ORD0480</t>
  </si>
  <si>
    <t>ORD0481</t>
  </si>
  <si>
    <t>2025-10-26</t>
  </si>
  <si>
    <t>ORD0482</t>
  </si>
  <si>
    <t>ORD0483</t>
  </si>
  <si>
    <t>2025-03-28</t>
  </si>
  <si>
    <t>ORD0484</t>
  </si>
  <si>
    <t>ORD0485</t>
  </si>
  <si>
    <t>2025-03-18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</si>
  <si>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</si>
  <si>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</si>
  <si>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</si>
  <si>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</si>
  <si>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</si>
  <si>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</si>
  <si>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</si>
  <si>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</si>
  <si>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</si>
  <si>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2025-09-09</t>
  </si>
  <si>
    <t>ORD0495</t>
  </si>
  <si>
    <t>ORD0496</t>
  </si>
  <si>
    <t>2025-06-24</t>
  </si>
  <si>
    <t>ORD0497</t>
  </si>
  <si>
    <t>ORD0498</t>
  </si>
  <si>
    <t>ORD0499</t>
  </si>
  <si>
    <t>ORD0500</t>
  </si>
  <si>
    <t>2025-07-02</t>
  </si>
  <si>
    <t>Row Labels</t>
  </si>
  <si>
    <t>Grand Total</t>
  </si>
  <si>
    <t>Count of Sales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</si>
  <si>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</si>
  <si>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</si>
  <si>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</si>
  <si>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</si>
  <si>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</si>
  <si>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</si>
  <si>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</si>
  <si>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</si>
  <si>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</si>
  <si>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</si>
  <si>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</si>
  <si>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</si>
  <si>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</si>
  <si>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 of Order_ID</t>
  </si>
  <si>
    <r>
      <t xml:space="preserve">                  </t>
    </r>
    <r>
      <rPr>
        <b/>
        <sz val="22"/>
        <color theme="1"/>
        <rFont val="Calibri"/>
        <family val="2"/>
        <scheme val="minor"/>
      </rPr>
      <t>RETAIL SALES ANALYSIS DASHBOARD</t>
    </r>
  </si>
  <si>
    <t>TOTAL SALES</t>
  </si>
  <si>
    <t>TOTAL ORDER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</si>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</sst>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4"/>
      <name val="Algerian"/>
      <family val="5"/>
    </font>
    <font>
      <b/>
      <sz val="16"/>
      <color theme="4"/>
      <name val="Algerian"/>
      <family val="5"/>
    </font>
    <font>
      <b/>
      <sz val="18"/>
      <color theme="4"/>
      <name val="Algerian"/>
      <family val="5"/>
    </font>
    <font>
      <sz val="16"/>
      <color theme="4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1" xfId="0" applyFill="1" applyBorder="1"/>
    <xf numFmtId="0" fontId="0" fillId="4" borderId="4" xfId="0" applyFill="1" applyBorder="1"/>
    <xf numFmtId="0" fontId="1" fillId="4" borderId="0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5" fillId="4" borderId="3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2" fillId="4" borderId="1" xfId="0" applyFont="1" applyFill="1" applyBorder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</cellXfs>
  <cellStyles count="1">
    <cellStyle name="Normal" xfId="0" builtinId="0"/>
  </cellStyles>
  <dxfs count="9">
    <dxf>
      <numFmt numFmtId="164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dashboard.xlsx]MONTHLY 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32</c:v>
                </c:pt>
                <c:pt idx="3">
                  <c:v>30</c:v>
                </c:pt>
                <c:pt idx="4">
                  <c:v>39</c:v>
                </c:pt>
                <c:pt idx="5">
                  <c:v>30</c:v>
                </c:pt>
                <c:pt idx="6">
                  <c:v>29</c:v>
                </c:pt>
                <c:pt idx="7">
                  <c:v>31</c:v>
                </c:pt>
                <c:pt idx="8">
                  <c:v>36</c:v>
                </c:pt>
                <c:pt idx="9">
                  <c:v>42</c:v>
                </c:pt>
                <c:pt idx="10">
                  <c:v>24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8-4321-BE4F-EE15A04BB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48799"/>
        <c:axId val="11734511"/>
      </c:barChart>
      <c:catAx>
        <c:axId val="9404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511"/>
        <c:crosses val="autoZero"/>
        <c:auto val="1"/>
        <c:lblAlgn val="ctr"/>
        <c:lblOffset val="100"/>
        <c:noMultiLvlLbl val="0"/>
      </c:catAx>
      <c:valAx>
        <c:axId val="117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dashboard.xlsx]CITY WISE!PivotTable6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city_wise sales</a:t>
            </a:r>
          </a:p>
        </c:rich>
      </c:tx>
      <c:layout>
        <c:manualLayout>
          <c:xMode val="edge"/>
          <c:yMode val="edge"/>
          <c:x val="0.59282633420822395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'CITY WISE'!$B$3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'CITY WISE'!$A$4:$A$12</c:f>
              <c:strCache>
                <c:ptCount val="8"/>
                <c:pt idx="0">
                  <c:v>Bhopal</c:v>
                </c:pt>
                <c:pt idx="1">
                  <c:v>Delhi</c:v>
                </c:pt>
                <c:pt idx="2">
                  <c:v>Jaipur</c:v>
                </c:pt>
                <c:pt idx="3">
                  <c:v>Kanpur</c:v>
                </c:pt>
                <c:pt idx="4">
                  <c:v>Lucknow</c:v>
                </c:pt>
                <c:pt idx="5">
                  <c:v>Noida</c:v>
                </c:pt>
                <c:pt idx="6">
                  <c:v>Patna</c:v>
                </c:pt>
                <c:pt idx="7">
                  <c:v>Varanasi</c:v>
                </c:pt>
              </c:strCache>
            </c:strRef>
          </c:cat>
          <c:val>
            <c:numRef>
              <c:f>'CITY WISE'!$B$4:$B$12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48</c:v>
                </c:pt>
                <c:pt idx="3">
                  <c:v>52</c:v>
                </c:pt>
                <c:pt idx="4">
                  <c:v>42</c:v>
                </c:pt>
                <c:pt idx="5">
                  <c:v>54</c:v>
                </c:pt>
                <c:pt idx="6">
                  <c:v>59</c:v>
                </c:pt>
                <c:pt idx="7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F-446D-A643-D768BEA97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dashboard.xlsx]CATEGORY!PivotTable7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category_wise sales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Office</c:v>
                </c:pt>
                <c:pt idx="4">
                  <c:v>Stationery</c:v>
                </c:pt>
              </c:strCache>
            </c:strRef>
          </c:cat>
          <c:val>
            <c:numRef>
              <c:f>CATEGORY!$B$4:$B$9</c:f>
              <c:numCache>
                <c:formatCode>General</c:formatCode>
                <c:ptCount val="5"/>
                <c:pt idx="0">
                  <c:v>166</c:v>
                </c:pt>
                <c:pt idx="1">
                  <c:v>116</c:v>
                </c:pt>
                <c:pt idx="2">
                  <c:v>41</c:v>
                </c:pt>
                <c:pt idx="3">
                  <c:v>48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A-4C6F-BE5E-D4F49CAE2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231967"/>
        <c:axId val="11647631"/>
      </c:barChart>
      <c:catAx>
        <c:axId val="9323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631"/>
        <c:crosses val="autoZero"/>
        <c:auto val="1"/>
        <c:lblAlgn val="ctr"/>
        <c:lblOffset val="100"/>
        <c:noMultiLvlLbl val="0"/>
      </c:catAx>
      <c:valAx>
        <c:axId val="1164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dashboard.xlsx]ORDER STATUS!PivotTable8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'ORDER STATUS'!$A$4:$A$8</c:f>
              <c:strCache>
                <c:ptCount val="4"/>
                <c:pt idx="0">
                  <c:v>Completed</c:v>
                </c:pt>
                <c:pt idx="1">
                  <c:v>completed </c:v>
                </c:pt>
                <c:pt idx="2">
                  <c:v>Pending</c:v>
                </c:pt>
                <c:pt idx="3">
                  <c:v>Returned</c:v>
                </c:pt>
              </c:strCache>
            </c:strRef>
          </c:cat>
          <c:val>
            <c:numRef>
              <c:f>'ORDER STATUS'!$B$4:$B$8</c:f>
              <c:numCache>
                <c:formatCode>General</c:formatCode>
                <c:ptCount val="4"/>
                <c:pt idx="0">
                  <c:v>259</c:v>
                </c:pt>
                <c:pt idx="1">
                  <c:v>1</c:v>
                </c:pt>
                <c:pt idx="2">
                  <c:v>82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C-448B-A417-1C7B746FD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dashboard.xlsx]PRODUCT SALES!PivotTable9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42122900262467189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SALES'!$A$4:$A$14</c:f>
              <c:strCache>
                <c:ptCount val="10"/>
                <c:pt idx="0">
                  <c:v>Desk Lamp</c:v>
                </c:pt>
                <c:pt idx="1">
                  <c:v>Headphones</c:v>
                </c:pt>
                <c:pt idx="2">
                  <c:v>Keyboard</c:v>
                </c:pt>
                <c:pt idx="3">
                  <c:v>Laptop Stand</c:v>
                </c:pt>
                <c:pt idx="4">
                  <c:v>Monitor</c:v>
                </c:pt>
                <c:pt idx="5">
                  <c:v>Notebook Set</c:v>
                </c:pt>
                <c:pt idx="6">
                  <c:v>Office Chair</c:v>
                </c:pt>
                <c:pt idx="7">
                  <c:v>USB-C Hub</c:v>
                </c:pt>
                <c:pt idx="8">
                  <c:v>Webcam</c:v>
                </c:pt>
                <c:pt idx="9">
                  <c:v>Wireless Mouse</c:v>
                </c:pt>
              </c:strCache>
            </c:strRef>
          </c:cat>
          <c:val>
            <c:numRef>
              <c:f>'PRODUCT SALES'!$B$4:$B$14</c:f>
              <c:numCache>
                <c:formatCode>General</c:formatCode>
                <c:ptCount val="10"/>
                <c:pt idx="0">
                  <c:v>49</c:v>
                </c:pt>
                <c:pt idx="1">
                  <c:v>39</c:v>
                </c:pt>
                <c:pt idx="2">
                  <c:v>41</c:v>
                </c:pt>
                <c:pt idx="3">
                  <c:v>47</c:v>
                </c:pt>
                <c:pt idx="4">
                  <c:v>36</c:v>
                </c:pt>
                <c:pt idx="5">
                  <c:v>39</c:v>
                </c:pt>
                <c:pt idx="6">
                  <c:v>41</c:v>
                </c:pt>
                <c:pt idx="7">
                  <c:v>42</c:v>
                </c:pt>
                <c:pt idx="8">
                  <c:v>42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E-4AD6-93A0-75496D7CF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17119"/>
        <c:axId val="11735471"/>
      </c:barChart>
      <c:catAx>
        <c:axId val="9321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5471"/>
        <c:crosses val="autoZero"/>
        <c:auto val="1"/>
        <c:lblAlgn val="ctr"/>
        <c:lblOffset val="100"/>
        <c:noMultiLvlLbl val="0"/>
      </c:catAx>
      <c:valAx>
        <c:axId val="1173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dashboard.xlsx]MONTHLY SALES!PivotTable5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32</c:v>
                </c:pt>
                <c:pt idx="3">
                  <c:v>30</c:v>
                </c:pt>
                <c:pt idx="4">
                  <c:v>39</c:v>
                </c:pt>
                <c:pt idx="5">
                  <c:v>30</c:v>
                </c:pt>
                <c:pt idx="6">
                  <c:v>29</c:v>
                </c:pt>
                <c:pt idx="7">
                  <c:v>31</c:v>
                </c:pt>
                <c:pt idx="8">
                  <c:v>36</c:v>
                </c:pt>
                <c:pt idx="9">
                  <c:v>42</c:v>
                </c:pt>
                <c:pt idx="10">
                  <c:v>24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4-4E6F-A13B-1147099E9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48799"/>
        <c:axId val="11734511"/>
      </c:barChart>
      <c:catAx>
        <c:axId val="9404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511"/>
        <c:crosses val="autoZero"/>
        <c:auto val="1"/>
        <c:lblAlgn val="ctr"/>
        <c:lblOffset val="100"/>
        <c:noMultiLvlLbl val="0"/>
      </c:catAx>
      <c:valAx>
        <c:axId val="117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dashboard.xlsx]CITY WISE!PivotTable6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city_wise sales</a:t>
            </a:r>
          </a:p>
        </c:rich>
      </c:tx>
      <c:layout>
        <c:manualLayout>
          <c:xMode val="edge"/>
          <c:yMode val="edge"/>
          <c:x val="0.59282633420822395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'CITY WISE'!$B$3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28-44CE-8ED3-5FC73F91AF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28-44CE-8ED3-5FC73F91AF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28-44CE-8ED3-5FC73F91AF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28-44CE-8ED3-5FC73F91AF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28-44CE-8ED3-5FC73F91AF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428-44CE-8ED3-5FC73F91AF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428-44CE-8ED3-5FC73F91AF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428-44CE-8ED3-5FC73F91AF7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'CITY WISE'!$A$4:$A$12</c:f>
              <c:strCache>
                <c:ptCount val="8"/>
                <c:pt idx="0">
                  <c:v>Bhopal</c:v>
                </c:pt>
                <c:pt idx="1">
                  <c:v>Delhi</c:v>
                </c:pt>
                <c:pt idx="2">
                  <c:v>Jaipur</c:v>
                </c:pt>
                <c:pt idx="3">
                  <c:v>Kanpur</c:v>
                </c:pt>
                <c:pt idx="4">
                  <c:v>Lucknow</c:v>
                </c:pt>
                <c:pt idx="5">
                  <c:v>Noida</c:v>
                </c:pt>
                <c:pt idx="6">
                  <c:v>Patna</c:v>
                </c:pt>
                <c:pt idx="7">
                  <c:v>Varanasi</c:v>
                </c:pt>
              </c:strCache>
            </c:strRef>
          </c:cat>
          <c:val>
            <c:numRef>
              <c:f>'CITY WISE'!$B$4:$B$12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48</c:v>
                </c:pt>
                <c:pt idx="3">
                  <c:v>52</c:v>
                </c:pt>
                <c:pt idx="4">
                  <c:v>42</c:v>
                </c:pt>
                <c:pt idx="5">
                  <c:v>54</c:v>
                </c:pt>
                <c:pt idx="6">
                  <c:v>59</c:v>
                </c:pt>
                <c:pt idx="7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428-44CE-8ED3-5FC73F91A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dashboard.xlsx]CATEGORY!PivotTable7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category_wise sales</a:t>
            </a: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Office</c:v>
                </c:pt>
                <c:pt idx="4">
                  <c:v>Stationery</c:v>
                </c:pt>
              </c:strCache>
            </c:strRef>
          </c:cat>
          <c:val>
            <c:numRef>
              <c:f>CATEGORY!$B$4:$B$9</c:f>
              <c:numCache>
                <c:formatCode>General</c:formatCode>
                <c:ptCount val="5"/>
                <c:pt idx="0">
                  <c:v>166</c:v>
                </c:pt>
                <c:pt idx="1">
                  <c:v>116</c:v>
                </c:pt>
                <c:pt idx="2">
                  <c:v>41</c:v>
                </c:pt>
                <c:pt idx="3">
                  <c:v>48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C-4B9F-8535-76821C1A0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231967"/>
        <c:axId val="11647631"/>
      </c:barChart>
      <c:catAx>
        <c:axId val="9323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631"/>
        <c:crosses val="autoZero"/>
        <c:auto val="1"/>
        <c:lblAlgn val="ctr"/>
        <c:lblOffset val="100"/>
        <c:noMultiLvlLbl val="0"/>
      </c:catAx>
      <c:valAx>
        <c:axId val="1164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dashboard.xlsx]ORDER STATUS!PivotTable8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analysis</a:t>
            </a:r>
          </a:p>
        </c:rich>
      </c:tx>
      <c:layout>
        <c:manualLayout>
          <c:xMode val="edge"/>
          <c:yMode val="edge"/>
          <c:x val="0.2379715107199574"/>
          <c:y val="0.174079665094399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70-48A9-9291-5550E771A1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70-48A9-9291-5550E771A1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70-48A9-9291-5550E771A1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70-48A9-9291-5550E771A15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'ORDER STATUS'!$A$4:$A$8</c:f>
              <c:strCache>
                <c:ptCount val="4"/>
                <c:pt idx="0">
                  <c:v>Completed</c:v>
                </c:pt>
                <c:pt idx="1">
                  <c:v>completed </c:v>
                </c:pt>
                <c:pt idx="2">
                  <c:v>Pending</c:v>
                </c:pt>
                <c:pt idx="3">
                  <c:v>Returned</c:v>
                </c:pt>
              </c:strCache>
            </c:strRef>
          </c:cat>
          <c:val>
            <c:numRef>
              <c:f>'ORDER STATUS'!$B$4:$B$8</c:f>
              <c:numCache>
                <c:formatCode>General</c:formatCode>
                <c:ptCount val="4"/>
                <c:pt idx="0">
                  <c:v>259</c:v>
                </c:pt>
                <c:pt idx="1">
                  <c:v>1</c:v>
                </c:pt>
                <c:pt idx="2">
                  <c:v>82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70-48A9-9291-5550E771A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dashboard.xlsx]PRODUCT SALES!PivotTable9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42122900262467189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SALES'!$A$4:$A$14</c:f>
              <c:strCache>
                <c:ptCount val="10"/>
                <c:pt idx="0">
                  <c:v>Desk Lamp</c:v>
                </c:pt>
                <c:pt idx="1">
                  <c:v>Headphones</c:v>
                </c:pt>
                <c:pt idx="2">
                  <c:v>Keyboard</c:v>
                </c:pt>
                <c:pt idx="3">
                  <c:v>Laptop Stand</c:v>
                </c:pt>
                <c:pt idx="4">
                  <c:v>Monitor</c:v>
                </c:pt>
                <c:pt idx="5">
                  <c:v>Notebook Set</c:v>
                </c:pt>
                <c:pt idx="6">
                  <c:v>Office Chair</c:v>
                </c:pt>
                <c:pt idx="7">
                  <c:v>USB-C Hub</c:v>
                </c:pt>
                <c:pt idx="8">
                  <c:v>Webcam</c:v>
                </c:pt>
                <c:pt idx="9">
                  <c:v>Wireless Mouse</c:v>
                </c:pt>
              </c:strCache>
            </c:strRef>
          </c:cat>
          <c:val>
            <c:numRef>
              <c:f>'PRODUCT SALES'!$B$4:$B$14</c:f>
              <c:numCache>
                <c:formatCode>General</c:formatCode>
                <c:ptCount val="10"/>
                <c:pt idx="0">
                  <c:v>49</c:v>
                </c:pt>
                <c:pt idx="1">
                  <c:v>39</c:v>
                </c:pt>
                <c:pt idx="2">
                  <c:v>41</c:v>
                </c:pt>
                <c:pt idx="3">
                  <c:v>47</c:v>
                </c:pt>
                <c:pt idx="4">
                  <c:v>36</c:v>
                </c:pt>
                <c:pt idx="5">
                  <c:v>39</c:v>
                </c:pt>
                <c:pt idx="6">
                  <c:v>41</c:v>
                </c:pt>
                <c:pt idx="7">
                  <c:v>42</c:v>
                </c:pt>
                <c:pt idx="8">
                  <c:v>42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F-4A76-ABB1-4DD2DBE7A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17119"/>
        <c:axId val="11735471"/>
      </c:barChart>
      <c:catAx>
        <c:axId val="9321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5471"/>
        <c:crosses val="autoZero"/>
        <c:auto val="1"/>
        <c:lblAlgn val="ctr"/>
        <c:lblOffset val="100"/>
        <c:noMultiLvlLbl val="0"/>
      </c:catAx>
      <c:valAx>
        <c:axId val="1173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6</xdr:row>
      <xdr:rowOff>45720</xdr:rowOff>
    </xdr:from>
    <xdr:to>
      <xdr:col>11</xdr:col>
      <xdr:colOff>266700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74764-3DE9-22FD-3E5A-E8BE2C946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6</xdr:row>
      <xdr:rowOff>45720</xdr:rowOff>
    </xdr:from>
    <xdr:to>
      <xdr:col>11</xdr:col>
      <xdr:colOff>266700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9C5E0-826C-E214-8DCD-382CB41F2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6</xdr:row>
      <xdr:rowOff>45720</xdr:rowOff>
    </xdr:from>
    <xdr:to>
      <xdr:col>11</xdr:col>
      <xdr:colOff>457200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DAD3C-A1E3-FBFD-26E5-97B041DA3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45720</xdr:rowOff>
    </xdr:from>
    <xdr:to>
      <xdr:col>11</xdr:col>
      <xdr:colOff>228600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1C4EC0-BDB2-FF29-6446-790E4C1AB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6</xdr:row>
      <xdr:rowOff>45720</xdr:rowOff>
    </xdr:from>
    <xdr:to>
      <xdr:col>11</xdr:col>
      <xdr:colOff>358140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4DF77-1B99-6877-5A93-EBAE015DB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312421</xdr:colOff>
      <xdr:row>8</xdr:row>
      <xdr:rowOff>23478</xdr:rowOff>
    </xdr:from>
    <xdr:to>
      <xdr:col>9</xdr:col>
      <xdr:colOff>473675</xdr:colOff>
      <xdr:row>23</xdr:row>
      <xdr:rowOff>102974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0FE38-22C3-4B1F-B473-58EDB53A2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95560</xdr:colOff>
      <xdr:row>24</xdr:row>
      <xdr:rowOff>84645</xdr:rowOff>
    </xdr:from>
    <xdr:to>
      <xdr:col>18</xdr:col>
      <xdr:colOff>195648</xdr:colOff>
      <xdr:row>34</xdr:row>
      <xdr:rowOff>164757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D4327-D019-45FD-A007-C686771E7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342282</xdr:colOff>
      <xdr:row>7</xdr:row>
      <xdr:rowOff>30891</xdr:rowOff>
    </xdr:from>
    <xdr:to>
      <xdr:col>29</xdr:col>
      <xdr:colOff>545756</xdr:colOff>
      <xdr:row>22</xdr:row>
      <xdr:rowOff>92675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A3019D-083B-4CAC-A22F-4723DF593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569646</xdr:colOff>
      <xdr:row>24</xdr:row>
      <xdr:rowOff>18948</xdr:rowOff>
    </xdr:from>
    <xdr:to>
      <xdr:col>9</xdr:col>
      <xdr:colOff>545757</xdr:colOff>
      <xdr:row>34</xdr:row>
      <xdr:rowOff>72081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70BB37-B258-4C91-AFFC-CB26A84D9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205946</xdr:colOff>
      <xdr:row>7</xdr:row>
      <xdr:rowOff>66315</xdr:rowOff>
    </xdr:from>
    <xdr:to>
      <xdr:col>19</xdr:col>
      <xdr:colOff>473674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73C8FD-BA3E-4DFE-A59B-56989517E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rajbhar" refreshedDate="46309.54499652778" createdVersion="8" refreshedVersion="8" minRefreshableVersion="3" recordCount="414" xr:uid="{26B824FD-EEFB-4F26-94DF-A60C5FAD916B}">
  <cacheSource type="worksheet">
    <worksheetSource name="Raw_Data"/>
  </cacheSource>
  <cacheFields count="12">
    <cacheField name="Order_ID" numFmtId="0">
      <sharedItems count="414">
        <s v="ORD0001"/>
        <s v="ORD0018"/>
        <s v="ORD0064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068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</sharedItems>
    </cacheField>
    <cacheField name="Order_Date" numFmtId="0">
      <sharedItems containsDate="1" containsBlank="1" containsMixedTypes="1" minDate="2025-03-11T00:00:00" maxDate="2025-03-12T00:00:00"/>
    </cacheField>
    <cacheField name="month" numFmtId="0">
      <sharedItems count="12">
        <s v="May"/>
        <s v="September"/>
        <s v="August"/>
        <s v="January"/>
        <s v="April"/>
        <s v="October"/>
        <s v="November"/>
        <s v="June"/>
        <s v="February"/>
        <s v="December"/>
        <s v="July"/>
        <s v="March"/>
      </sharedItems>
    </cacheField>
    <cacheField name="Customer_Name" numFmtId="0">
      <sharedItems containsBlank="1"/>
    </cacheField>
    <cacheField name="City" numFmtId="0">
      <sharedItems containsBlank="1" count="10">
        <s v="2025-05-21"/>
        <m/>
        <s v="Noida"/>
        <s v="Varanasi"/>
        <s v="Kanpur"/>
        <s v="Jaipur"/>
        <s v="Bhopal"/>
        <s v="Patna"/>
        <s v="Delhi"/>
        <s v="Lucknow"/>
      </sharedItems>
    </cacheField>
    <cacheField name="Product" numFmtId="0">
      <sharedItems containsBlank="1" count="12">
        <s v="2025-05-21"/>
        <s v="Office Chair"/>
        <s v="Webcam"/>
        <s v="Laptop Stand"/>
        <s v="Wireless Mouse"/>
        <s v="Desk Lamp"/>
        <s v="USB-C Hub"/>
        <s v="Headphones"/>
        <s v="Keyboard"/>
        <s v="Monitor"/>
        <s v="Notebook Set"/>
        <m/>
      </sharedItems>
    </cacheField>
    <cacheField name="Category" numFmtId="0">
      <sharedItems containsBlank="1" count="7">
        <s v="2025-05-21"/>
        <s v="Furniture"/>
        <s v="Electronics"/>
        <s v="Accessories"/>
        <s v="Home Office"/>
        <s v="Stationery"/>
        <m/>
      </sharedItems>
    </cacheField>
    <cacheField name="Quantity" numFmtId="0">
      <sharedItems containsBlank="1" containsMixedTypes="1" containsNumber="1" containsInteger="1" minValue="-2" maxValue="5"/>
    </cacheField>
    <cacheField name="Unit_Price" numFmtId="0">
      <sharedItems containsBlank="1" containsMixedTypes="1" containsNumber="1" containsInteger="1" minValue="249" maxValue="12499"/>
    </cacheField>
    <cacheField name="Sales" numFmtId="0">
      <sharedItems containsBlank="1" containsMixedTypes="1" containsNumber="1" containsInteger="1" minValue="249" maxValue="62495" count="52">
        <s v="2025-05-21"/>
        <n v="29996"/>
        <n v="6597"/>
        <n v="3996"/>
        <n v="2995"/>
        <n v="1198"/>
        <n v="1299"/>
        <n v="7495"/>
        <n v="7499"/>
        <n v="14998"/>
        <n v="4995"/>
        <n v="2396"/>
        <n v="5996"/>
        <n v="22497"/>
        <n v="8796"/>
        <n v="1998"/>
        <n v="8995"/>
        <n v="1798"/>
        <n v="2997"/>
        <n v="2199"/>
        <n v="4398"/>
        <n v="3598"/>
        <n v="4497"/>
        <n v="899"/>
        <n v="49996"/>
        <n v="1799"/>
        <n v="1499"/>
        <n v="7196"/>
        <n v="37495"/>
        <n v="996"/>
        <n v="3897"/>
        <n v="62495"/>
        <n v="498"/>
        <n v="37497"/>
        <n v="2598"/>
        <n v="1797"/>
        <n v="5397"/>
        <n v="249"/>
        <n v="999"/>
        <n v="747"/>
        <n v="12499"/>
        <n v="10995"/>
        <n v="5196"/>
        <n v="2697"/>
        <n v="3596"/>
        <n v="6495"/>
        <n v="1245"/>
        <n v="4495"/>
        <n v="599"/>
        <n v="2998"/>
        <m/>
        <n v="24998"/>
      </sharedItems>
    </cacheField>
    <cacheField name="Payment_Method" numFmtId="0">
      <sharedItems containsBlank="1"/>
    </cacheField>
    <cacheField name="Order_Status" numFmtId="0">
      <sharedItems containsBlank="1" count="5">
        <s v="Completed"/>
        <s v="Pending"/>
        <s v="Returned"/>
        <s v="completed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4">
  <r>
    <x v="0"/>
    <s v="2025-05-21"/>
    <x v="0"/>
    <s v="2025-05-21"/>
    <x v="0"/>
    <x v="0"/>
    <x v="0"/>
    <s v="2025-05-21"/>
    <s v="2025-05-21"/>
    <x v="0"/>
    <s v="2025-05-21"/>
    <x v="0"/>
  </r>
  <r>
    <x v="1"/>
    <s v="2025-09-28"/>
    <x v="1"/>
    <s v="Amit Yadav"/>
    <x v="1"/>
    <x v="1"/>
    <x v="1"/>
    <n v="4"/>
    <n v="7499"/>
    <x v="1"/>
    <s v="UPI"/>
    <x v="1"/>
  </r>
  <r>
    <x v="2"/>
    <s v="2025-08-09"/>
    <x v="2"/>
    <m/>
    <x v="2"/>
    <x v="2"/>
    <x v="2"/>
    <n v="3"/>
    <n v="2199"/>
    <x v="2"/>
    <s v="Net Banking"/>
    <x v="0"/>
  </r>
  <r>
    <x v="3"/>
    <s v="2025-05-23"/>
    <x v="0"/>
    <s v="Rohan Patel"/>
    <x v="3"/>
    <x v="3"/>
    <x v="3"/>
    <n v="4"/>
    <n v="999"/>
    <x v="3"/>
    <s v="UPI"/>
    <x v="2"/>
  </r>
  <r>
    <x v="4"/>
    <s v="2025-01-27"/>
    <x v="3"/>
    <s v="Sneha Mishra"/>
    <x v="4"/>
    <x v="4"/>
    <x v="3"/>
    <n v="5"/>
    <n v="599"/>
    <x v="4"/>
    <s v="UPI"/>
    <x v="0"/>
  </r>
  <r>
    <x v="5"/>
    <s v="2025-04-13"/>
    <x v="4"/>
    <s v="Aarav Sharma"/>
    <x v="5"/>
    <x v="4"/>
    <x v="3"/>
    <n v="2"/>
    <n v="599"/>
    <x v="5"/>
    <s v="Credit Card"/>
    <x v="0"/>
  </r>
  <r>
    <x v="6"/>
    <s v="2025-10-16"/>
    <x v="5"/>
    <s v="Neha Gupta"/>
    <x v="6"/>
    <x v="5"/>
    <x v="4"/>
    <n v="1"/>
    <n v="1299"/>
    <x v="6"/>
    <s v="Debit Card"/>
    <x v="0"/>
  </r>
  <r>
    <x v="7"/>
    <s v="2025-11-07"/>
    <x v="6"/>
    <s v="Priya Verma"/>
    <x v="5"/>
    <x v="6"/>
    <x v="3"/>
    <n v="5"/>
    <n v="1499"/>
    <x v="7"/>
    <s v="Debit Card"/>
    <x v="0"/>
  </r>
  <r>
    <x v="8"/>
    <s v="2025-06-09"/>
    <x v="7"/>
    <s v="Rohan Patel"/>
    <x v="7"/>
    <x v="1"/>
    <x v="1"/>
    <n v="1"/>
    <n v="7499"/>
    <x v="8"/>
    <s v="Credit Card"/>
    <x v="0"/>
  </r>
  <r>
    <x v="9"/>
    <s v="2025-02-22"/>
    <x v="8"/>
    <s v="Amit Yadav"/>
    <x v="8"/>
    <x v="1"/>
    <x v="1"/>
    <n v="2"/>
    <n v="7499"/>
    <x v="9"/>
    <s v="Net Banking"/>
    <x v="0"/>
  </r>
  <r>
    <x v="10"/>
    <s v="2025-08-08"/>
    <x v="2"/>
    <s v="Sneha Mishra"/>
    <x v="8"/>
    <x v="3"/>
    <x v="3"/>
    <n v="5"/>
    <n v="999"/>
    <x v="10"/>
    <s v="Net Banking"/>
    <x v="0"/>
  </r>
  <r>
    <x v="11"/>
    <s v="2025-09-08"/>
    <x v="1"/>
    <s v="Priya Verma"/>
    <x v="7"/>
    <x v="4"/>
    <x v="3"/>
    <m/>
    <n v="599"/>
    <x v="11"/>
    <s v="Debit Card"/>
    <x v="2"/>
  </r>
  <r>
    <x v="12"/>
    <s v="2025-04-01"/>
    <x v="4"/>
    <s v="Amit Yadav"/>
    <x v="6"/>
    <x v="6"/>
    <x v="3"/>
    <n v="4"/>
    <n v="1499"/>
    <x v="12"/>
    <s v="Cash"/>
    <x v="2"/>
  </r>
  <r>
    <x v="13"/>
    <s v="2025-06-15"/>
    <x v="7"/>
    <s v="Neha Gupta"/>
    <x v="8"/>
    <x v="1"/>
    <x v="1"/>
    <n v="3"/>
    <n v="7499"/>
    <x v="13"/>
    <s v="Debit Card"/>
    <x v="2"/>
  </r>
  <r>
    <x v="14"/>
    <s v="2025-10-19"/>
    <x v="5"/>
    <s v="Rohan Patel"/>
    <x v="2"/>
    <x v="2"/>
    <x v="2"/>
    <n v="4"/>
    <n v="2199"/>
    <x v="14"/>
    <s v="UPI"/>
    <x v="2"/>
  </r>
  <r>
    <x v="15"/>
    <s v="2025-09-07"/>
    <x v="1"/>
    <s v="Neha Gupta"/>
    <x v="2"/>
    <x v="3"/>
    <x v="3"/>
    <n v="2"/>
    <n v="999"/>
    <x v="15"/>
    <s v="Debit Card"/>
    <x v="0"/>
  </r>
  <r>
    <x v="16"/>
    <s v="2025-12-26"/>
    <x v="9"/>
    <s v="Amit Yadav"/>
    <x v="9"/>
    <x v="7"/>
    <x v="2"/>
    <n v="5"/>
    <n v="1799"/>
    <x v="16"/>
    <s v="Net Banking"/>
    <x v="0"/>
  </r>
  <r>
    <x v="17"/>
    <s v="2025-07-28"/>
    <x v="10"/>
    <s v="Ananya Das"/>
    <x v="4"/>
    <x v="8"/>
    <x v="3"/>
    <n v="2"/>
    <n v="899"/>
    <x v="17"/>
    <s v="Cash"/>
    <x v="2"/>
  </r>
  <r>
    <x v="18"/>
    <s v="2025-02-17"/>
    <x v="8"/>
    <s v="Amit Yadav"/>
    <x v="4"/>
    <x v="5"/>
    <x v="4"/>
    <n v="1"/>
    <n v="1299"/>
    <x v="6"/>
    <s v="Cash"/>
    <x v="0"/>
  </r>
  <r>
    <x v="19"/>
    <s v="2025-07-08"/>
    <x v="10"/>
    <s v="Ananya Das"/>
    <x v="2"/>
    <x v="7"/>
    <x v="2"/>
    <n v="5"/>
    <n v="1799"/>
    <x v="16"/>
    <s v="Cash"/>
    <x v="1"/>
  </r>
  <r>
    <x v="20"/>
    <s v="2025-12-26"/>
    <x v="9"/>
    <s v="Ananya Das"/>
    <x v="3"/>
    <x v="3"/>
    <x v="3"/>
    <n v="3"/>
    <n v="999"/>
    <x v="18"/>
    <s v="Debit Card"/>
    <x v="0"/>
  </r>
  <r>
    <x v="21"/>
    <s v="2025-04-09"/>
    <x v="4"/>
    <s v="Sneha Mishra"/>
    <x v="8"/>
    <x v="2"/>
    <x v="2"/>
    <n v="1"/>
    <n v="2199"/>
    <x v="19"/>
    <s v="Net Banking"/>
    <x v="0"/>
  </r>
  <r>
    <x v="22"/>
    <s v="2025-09-05"/>
    <x v="1"/>
    <s v="Amit Yadav"/>
    <x v="3"/>
    <x v="2"/>
    <x v="2"/>
    <n v="2"/>
    <n v="2199"/>
    <x v="20"/>
    <s v="UPI"/>
    <x v="0"/>
  </r>
  <r>
    <x v="23"/>
    <s v="2025-07-04"/>
    <x v="10"/>
    <s v="Rahul Singh"/>
    <x v="3"/>
    <x v="7"/>
    <x v="2"/>
    <n v="2"/>
    <n v="1799"/>
    <x v="21"/>
    <s v="UPI"/>
    <x v="1"/>
  </r>
  <r>
    <x v="24"/>
    <s v="2025-01-24"/>
    <x v="3"/>
    <s v="Aarav Sharma"/>
    <x v="3"/>
    <x v="6"/>
    <x v="3"/>
    <n v="3"/>
    <n v="1499"/>
    <x v="22"/>
    <s v="Credit Card"/>
    <x v="2"/>
  </r>
  <r>
    <x v="25"/>
    <s v="2025-10-21"/>
    <x v="5"/>
    <s v="Amit Yadav"/>
    <x v="6"/>
    <x v="8"/>
    <x v="3"/>
    <n v="1"/>
    <n v="899"/>
    <x v="23"/>
    <s v="Cash"/>
    <x v="2"/>
  </r>
  <r>
    <x v="26"/>
    <s v="2025-01-27"/>
    <x v="3"/>
    <s v="Amit Yadav"/>
    <x v="6"/>
    <x v="3"/>
    <x v="3"/>
    <n v="2"/>
    <n v="999"/>
    <x v="15"/>
    <s v="UPI"/>
    <x v="0"/>
  </r>
  <r>
    <x v="27"/>
    <s v="2025-02-07"/>
    <x v="8"/>
    <s v="Aarav Sharma"/>
    <x v="5"/>
    <x v="9"/>
    <x v="2"/>
    <n v="4"/>
    <n v="12499"/>
    <x v="24"/>
    <s v="Credit Card"/>
    <x v="1"/>
  </r>
  <r>
    <x v="28"/>
    <s v="2025-05-08"/>
    <x v="0"/>
    <s v="Priya Verma"/>
    <x v="7"/>
    <x v="7"/>
    <x v="2"/>
    <n v="1"/>
    <n v="1799"/>
    <x v="25"/>
    <s v="Net Banking"/>
    <x v="1"/>
  </r>
  <r>
    <x v="29"/>
    <s v="2025-09-25"/>
    <x v="1"/>
    <s v="Rohan Patel"/>
    <x v="6"/>
    <x v="1"/>
    <x v="1"/>
    <n v="2"/>
    <n v="7499"/>
    <x v="9"/>
    <s v="Cash"/>
    <x v="0"/>
  </r>
  <r>
    <x v="30"/>
    <s v="2025-06-06"/>
    <x v="7"/>
    <s v="Aarav Sharma"/>
    <x v="8"/>
    <x v="1"/>
    <x v="1"/>
    <n v="4"/>
    <n v="7499"/>
    <x v="1"/>
    <s v="Credit Card"/>
    <x v="0"/>
  </r>
  <r>
    <x v="31"/>
    <s v="2025-03-22"/>
    <x v="11"/>
    <s v="Neha Gupta"/>
    <x v="5"/>
    <x v="7"/>
    <x v="2"/>
    <n v="1"/>
    <n v="1799"/>
    <x v="25"/>
    <s v="Net Banking"/>
    <x v="0"/>
  </r>
  <r>
    <x v="32"/>
    <s v="2025-07-29"/>
    <x v="10"/>
    <s v="Ananya Das"/>
    <x v="6"/>
    <x v="6"/>
    <x v="3"/>
    <n v="1"/>
    <n v="1499"/>
    <x v="26"/>
    <s v="Debit Card"/>
    <x v="0"/>
  </r>
  <r>
    <x v="33"/>
    <s v="2025-12-28"/>
    <x v="9"/>
    <s v="Amit Yadav"/>
    <x v="6"/>
    <x v="2"/>
    <x v="2"/>
    <n v="3"/>
    <n v="2199"/>
    <x v="2"/>
    <s v="UPI"/>
    <x v="3"/>
  </r>
  <r>
    <x v="34"/>
    <s v="2025-12-05"/>
    <x v="9"/>
    <s v="Neha Gupta"/>
    <x v="7"/>
    <x v="7"/>
    <x v="2"/>
    <n v="5"/>
    <n v="1799"/>
    <x v="16"/>
    <s v="UPI"/>
    <x v="1"/>
  </r>
  <r>
    <x v="35"/>
    <s v="2025-05-17"/>
    <x v="0"/>
    <s v="Rahul Singh"/>
    <x v="8"/>
    <x v="2"/>
    <x v="2"/>
    <n v="2"/>
    <n v="2199"/>
    <x v="20"/>
    <s v="UPI"/>
    <x v="0"/>
  </r>
  <r>
    <x v="36"/>
    <s v="2025-10-19"/>
    <x v="5"/>
    <s v="Amit Yadav"/>
    <x v="6"/>
    <x v="7"/>
    <x v="2"/>
    <n v="5"/>
    <n v="1799"/>
    <x v="16"/>
    <s v="UPI"/>
    <x v="2"/>
  </r>
  <r>
    <x v="37"/>
    <s v="2025-05-20"/>
    <x v="0"/>
    <s v="Ananya Das"/>
    <x v="6"/>
    <x v="7"/>
    <x v="2"/>
    <n v="4"/>
    <n v="1799"/>
    <x v="27"/>
    <s v="UPI"/>
    <x v="1"/>
  </r>
  <r>
    <x v="38"/>
    <s v="2025-06-15"/>
    <x v="7"/>
    <s v="Amit Yadav"/>
    <x v="9"/>
    <x v="4"/>
    <x v="3"/>
    <n v="4"/>
    <n v="599"/>
    <x v="11"/>
    <s v="UPI"/>
    <x v="0"/>
  </r>
  <r>
    <x v="39"/>
    <s v="2025-01-11"/>
    <x v="3"/>
    <s v="Amit Yadav"/>
    <x v="9"/>
    <x v="1"/>
    <x v="1"/>
    <n v="5"/>
    <n v="7499"/>
    <x v="28"/>
    <s v="Credit Card"/>
    <x v="2"/>
  </r>
  <r>
    <x v="40"/>
    <s v="2025-05-23"/>
    <x v="0"/>
    <s v="Rahul Singh"/>
    <x v="7"/>
    <x v="10"/>
    <x v="5"/>
    <n v="4"/>
    <n v="249"/>
    <x v="29"/>
    <s v="Cash"/>
    <x v="0"/>
  </r>
  <r>
    <x v="41"/>
    <s v="2025-07-29"/>
    <x v="10"/>
    <s v="Sneha Mishra"/>
    <x v="2"/>
    <x v="5"/>
    <x v="4"/>
    <n v="3"/>
    <n v="1299"/>
    <x v="30"/>
    <s v="UPI"/>
    <x v="0"/>
  </r>
  <r>
    <x v="42"/>
    <s v="2025-12-22"/>
    <x v="9"/>
    <s v="Ananya Das"/>
    <x v="3"/>
    <x v="3"/>
    <x v="3"/>
    <n v="4"/>
    <n v="999"/>
    <x v="3"/>
    <s v="Cash"/>
    <x v="1"/>
  </r>
  <r>
    <x v="43"/>
    <s v="2025-02-15"/>
    <x v="8"/>
    <s v="Sneha Mishra"/>
    <x v="3"/>
    <x v="4"/>
    <x v="3"/>
    <n v="4"/>
    <n v="599"/>
    <x v="11"/>
    <s v="Debit Card"/>
    <x v="0"/>
  </r>
  <r>
    <x v="44"/>
    <s v="2025-01-01"/>
    <x v="3"/>
    <s v="Ananya Das"/>
    <x v="7"/>
    <x v="9"/>
    <x v="2"/>
    <n v="5"/>
    <n v="12499"/>
    <x v="31"/>
    <s v="UPI"/>
    <x v="0"/>
  </r>
  <r>
    <x v="45"/>
    <s v="2025-10-24"/>
    <x v="5"/>
    <s v="Sneha Mishra"/>
    <x v="6"/>
    <x v="2"/>
    <x v="2"/>
    <n v="4"/>
    <n v="2199"/>
    <x v="14"/>
    <s v="Cash"/>
    <x v="2"/>
  </r>
  <r>
    <x v="46"/>
    <s v="2025-03-09"/>
    <x v="11"/>
    <s v="Amit Yadav"/>
    <x v="6"/>
    <x v="7"/>
    <x v="2"/>
    <n v="5"/>
    <n v="1799"/>
    <x v="16"/>
    <s v="Cash"/>
    <x v="0"/>
  </r>
  <r>
    <x v="47"/>
    <s v="2025-05-03"/>
    <x v="0"/>
    <s v="Rahul Singh"/>
    <x v="3"/>
    <x v="4"/>
    <x v="3"/>
    <n v="5"/>
    <n v="599"/>
    <x v="4"/>
    <s v="Net Banking"/>
    <x v="0"/>
  </r>
  <r>
    <x v="48"/>
    <s v="2025-02-17"/>
    <x v="8"/>
    <s v="Neha Gupta"/>
    <x v="8"/>
    <x v="10"/>
    <x v="5"/>
    <n v="4"/>
    <n v="249"/>
    <x v="29"/>
    <s v="Cash"/>
    <x v="0"/>
  </r>
  <r>
    <x v="49"/>
    <s v="2025-05-30"/>
    <x v="0"/>
    <s v="Amit Yadav"/>
    <x v="7"/>
    <x v="6"/>
    <x v="3"/>
    <n v="4"/>
    <n v="1499"/>
    <x v="12"/>
    <s v="Cash"/>
    <x v="2"/>
  </r>
  <r>
    <x v="50"/>
    <s v="2025-10-10"/>
    <x v="5"/>
    <s v="Rahul Singh"/>
    <x v="7"/>
    <x v="2"/>
    <x v="2"/>
    <n v="4"/>
    <n v="2199"/>
    <x v="14"/>
    <s v="Credit Card"/>
    <x v="1"/>
  </r>
  <r>
    <x v="51"/>
    <s v="2025-02-05"/>
    <x v="8"/>
    <s v="Amit Yadav"/>
    <x v="7"/>
    <x v="10"/>
    <x v="5"/>
    <n v="2"/>
    <n v="249"/>
    <x v="32"/>
    <s v="Debit Card"/>
    <x v="1"/>
  </r>
  <r>
    <x v="52"/>
    <s v="2025-05-25"/>
    <x v="0"/>
    <s v="Amit Yadav"/>
    <x v="6"/>
    <x v="7"/>
    <x v="2"/>
    <n v="1"/>
    <n v="1799"/>
    <x v="25"/>
    <s v="Credit Card"/>
    <x v="2"/>
  </r>
  <r>
    <x v="53"/>
    <s v="2025-06-26"/>
    <x v="7"/>
    <s v="Sneha Mishra"/>
    <x v="7"/>
    <x v="10"/>
    <x v="5"/>
    <n v="4"/>
    <n v="249"/>
    <x v="29"/>
    <s v="Cash"/>
    <x v="0"/>
  </r>
  <r>
    <x v="54"/>
    <s v="2025-10-20"/>
    <x v="5"/>
    <s v="Rohan Patel"/>
    <x v="4"/>
    <x v="2"/>
    <x v="2"/>
    <n v="2"/>
    <n v="2199"/>
    <x v="20"/>
    <s v="Cash"/>
    <x v="0"/>
  </r>
  <r>
    <x v="55"/>
    <s v="2025-12-28"/>
    <x v="9"/>
    <s v="Rohan Patel"/>
    <x v="7"/>
    <x v="3"/>
    <x v="3"/>
    <n v="4"/>
    <n v="999"/>
    <x v="3"/>
    <s v="Credit Card"/>
    <x v="2"/>
  </r>
  <r>
    <x v="56"/>
    <s v="2025-09-15"/>
    <x v="1"/>
    <s v="Sneha Mishra"/>
    <x v="8"/>
    <x v="4"/>
    <x v="3"/>
    <n v="2"/>
    <n v="599"/>
    <x v="5"/>
    <s v="Cash"/>
    <x v="0"/>
  </r>
  <r>
    <x v="57"/>
    <s v="2025-01-08"/>
    <x v="3"/>
    <s v="Rahul Singh"/>
    <x v="7"/>
    <x v="10"/>
    <x v="5"/>
    <n v="4"/>
    <n v="249"/>
    <x v="29"/>
    <s v="Credit Card"/>
    <x v="0"/>
  </r>
  <r>
    <x v="58"/>
    <s v="2025-06-23"/>
    <x v="7"/>
    <s v="Rohan Patel"/>
    <x v="8"/>
    <x v="5"/>
    <x v="4"/>
    <n v="3"/>
    <n v="1299"/>
    <x v="30"/>
    <s v="Debit Card"/>
    <x v="1"/>
  </r>
  <r>
    <x v="59"/>
    <s v="2025-11-17"/>
    <x v="6"/>
    <s v="Ananya Das"/>
    <x v="9"/>
    <x v="9"/>
    <x v="2"/>
    <n v="3"/>
    <n v="12499"/>
    <x v="33"/>
    <s v="Net Banking"/>
    <x v="0"/>
  </r>
  <r>
    <x v="60"/>
    <s v="2025-04-27"/>
    <x v="4"/>
    <s v="Priya Verma"/>
    <x v="7"/>
    <x v="2"/>
    <x v="2"/>
    <n v="3"/>
    <n v="2199"/>
    <x v="2"/>
    <s v="UPI"/>
    <x v="0"/>
  </r>
  <r>
    <x v="61"/>
    <s v="2025-12-22"/>
    <x v="9"/>
    <s v="Amit Yadav"/>
    <x v="9"/>
    <x v="5"/>
    <x v="4"/>
    <n v="2"/>
    <n v="1299"/>
    <x v="34"/>
    <s v="UPI"/>
    <x v="0"/>
  </r>
  <r>
    <x v="62"/>
    <s v="2025-07-03"/>
    <x v="10"/>
    <s v="Sneha Mishra"/>
    <x v="7"/>
    <x v="4"/>
    <x v="3"/>
    <n v="3"/>
    <n v="599"/>
    <x v="35"/>
    <s v="Credit Card"/>
    <x v="0"/>
  </r>
  <r>
    <x v="63"/>
    <s v="2025-10-17"/>
    <x v="5"/>
    <s v="Rahul Singh"/>
    <x v="5"/>
    <x v="10"/>
    <x v="5"/>
    <n v="4"/>
    <n v="249"/>
    <x v="29"/>
    <s v="Credit Card"/>
    <x v="0"/>
  </r>
  <r>
    <x v="64"/>
    <s v="2025-11-14"/>
    <x v="6"/>
    <s v="Neha Gupta"/>
    <x v="6"/>
    <x v="1"/>
    <x v="1"/>
    <n v="4"/>
    <n v="7499"/>
    <x v="1"/>
    <s v="Net Banking"/>
    <x v="0"/>
  </r>
  <r>
    <x v="65"/>
    <s v="2025-11-23"/>
    <x v="6"/>
    <s v="Amit Yadav"/>
    <x v="6"/>
    <x v="2"/>
    <x v="2"/>
    <n v="4"/>
    <n v="2199"/>
    <x v="14"/>
    <s v="Debit Card"/>
    <x v="0"/>
  </r>
  <r>
    <x v="66"/>
    <s v="2025-12-13"/>
    <x v="9"/>
    <s v="Rahul Singh"/>
    <x v="8"/>
    <x v="5"/>
    <x v="4"/>
    <n v="3"/>
    <n v="1299"/>
    <x v="30"/>
    <s v="Cash"/>
    <x v="0"/>
  </r>
  <r>
    <x v="67"/>
    <s v="2025-11-24"/>
    <x v="6"/>
    <s v="Rohan Patel"/>
    <x v="3"/>
    <x v="1"/>
    <x v="1"/>
    <n v="3"/>
    <n v="7499"/>
    <x v="13"/>
    <s v="Cash"/>
    <x v="0"/>
  </r>
  <r>
    <x v="68"/>
    <s v="2025-09-05"/>
    <x v="1"/>
    <s v="Priya Verma"/>
    <x v="4"/>
    <x v="2"/>
    <x v="2"/>
    <n v="4"/>
    <n v="2199"/>
    <x v="14"/>
    <m/>
    <x v="1"/>
  </r>
  <r>
    <x v="69"/>
    <s v="2025-06-01"/>
    <x v="7"/>
    <s v="Amit Yadav"/>
    <x v="9"/>
    <x v="3"/>
    <x v="3"/>
    <n v="5"/>
    <n v="999"/>
    <x v="10"/>
    <s v="Cash"/>
    <x v="0"/>
  </r>
  <r>
    <x v="70"/>
    <s v="2025-12-18"/>
    <x v="9"/>
    <s v="Aarav Sharma"/>
    <x v="6"/>
    <x v="4"/>
    <x v="3"/>
    <n v="5"/>
    <n v="599"/>
    <x v="4"/>
    <s v="Debit Card"/>
    <x v="0"/>
  </r>
  <r>
    <x v="71"/>
    <s v="2025-04-23"/>
    <x v="4"/>
    <s v="Neha Gupta"/>
    <x v="3"/>
    <x v="1"/>
    <x v="1"/>
    <n v="3"/>
    <n v="7499"/>
    <x v="13"/>
    <s v="Credit Card"/>
    <x v="0"/>
  </r>
  <r>
    <x v="72"/>
    <s v="2025-08-14"/>
    <x v="2"/>
    <s v="Aarav Sharma"/>
    <x v="2"/>
    <x v="4"/>
    <x v="3"/>
    <n v="3"/>
    <n v="599"/>
    <x v="35"/>
    <s v="Credit Card"/>
    <x v="0"/>
  </r>
  <r>
    <x v="73"/>
    <s v="2025-08-01"/>
    <x v="2"/>
    <s v="Rahul Singh"/>
    <x v="4"/>
    <x v="7"/>
    <x v="2"/>
    <n v="3"/>
    <n v="1799"/>
    <x v="36"/>
    <s v="Credit Card"/>
    <x v="1"/>
  </r>
  <r>
    <x v="74"/>
    <s v="2025-09-14"/>
    <x v="1"/>
    <s v="Amit Yadav"/>
    <x v="5"/>
    <x v="3"/>
    <x v="3"/>
    <n v="5"/>
    <n v="999"/>
    <x v="10"/>
    <s v="Debit Card"/>
    <x v="2"/>
  </r>
  <r>
    <x v="75"/>
    <s v="2025-02-28"/>
    <x v="8"/>
    <s v="Ananya Das"/>
    <x v="8"/>
    <x v="7"/>
    <x v="2"/>
    <n v="3"/>
    <n v="1799"/>
    <x v="36"/>
    <s v="Credit Card"/>
    <x v="0"/>
  </r>
  <r>
    <x v="76"/>
    <s v="2025-07-07"/>
    <x v="10"/>
    <s v="Priya Verma"/>
    <x v="7"/>
    <x v="9"/>
    <x v="2"/>
    <n v="5"/>
    <n v="12499"/>
    <x v="31"/>
    <s v="UPI"/>
    <x v="0"/>
  </r>
  <r>
    <x v="77"/>
    <s v="2025-08-21"/>
    <x v="2"/>
    <s v="Sneha Mishra"/>
    <x v="3"/>
    <x v="10"/>
    <x v="5"/>
    <n v="1"/>
    <n v="249"/>
    <x v="37"/>
    <s v="Net Banking"/>
    <x v="2"/>
  </r>
  <r>
    <x v="78"/>
    <s v="2025-12-12"/>
    <x v="9"/>
    <s v="Neha Gupta"/>
    <x v="6"/>
    <x v="3"/>
    <x v="3"/>
    <n v="1"/>
    <n v="999"/>
    <x v="38"/>
    <s v="UPI"/>
    <x v="1"/>
  </r>
  <r>
    <x v="79"/>
    <s v="2025-11-09"/>
    <x v="6"/>
    <s v="Neha Gupta"/>
    <x v="8"/>
    <x v="10"/>
    <x v="5"/>
    <n v="3"/>
    <n v="249"/>
    <x v="39"/>
    <s v="Cash"/>
    <x v="0"/>
  </r>
  <r>
    <x v="80"/>
    <s v="2025-03-13"/>
    <x v="11"/>
    <s v="Aarav Sharma"/>
    <x v="9"/>
    <x v="9"/>
    <x v="2"/>
    <n v="1"/>
    <n v="12499"/>
    <x v="40"/>
    <s v="Debit Card"/>
    <x v="2"/>
  </r>
  <r>
    <x v="81"/>
    <s v="2025-05-01"/>
    <x v="0"/>
    <s v="Rahul Singh"/>
    <x v="7"/>
    <x v="8"/>
    <x v="3"/>
    <n v="1"/>
    <n v="899"/>
    <x v="23"/>
    <s v="Cash"/>
    <x v="0"/>
  </r>
  <r>
    <x v="82"/>
    <s v="2025-10-28"/>
    <x v="5"/>
    <s v="Rahul Singh"/>
    <x v="7"/>
    <x v="10"/>
    <x v="5"/>
    <n v="4"/>
    <n v="249"/>
    <x v="29"/>
    <s v="UPI"/>
    <x v="2"/>
  </r>
  <r>
    <x v="83"/>
    <s v="2025-05-24"/>
    <x v="0"/>
    <s v="Aarav Sharma"/>
    <x v="2"/>
    <x v="1"/>
    <x v="1"/>
    <n v="4"/>
    <n v="7499"/>
    <x v="1"/>
    <s v="Credit Card"/>
    <x v="2"/>
  </r>
  <r>
    <x v="84"/>
    <s v="2025-07-05"/>
    <x v="10"/>
    <s v="Priya Verma"/>
    <x v="2"/>
    <x v="5"/>
    <x v="4"/>
    <n v="2"/>
    <n v="1299"/>
    <x v="34"/>
    <s v="Net Banking"/>
    <x v="0"/>
  </r>
  <r>
    <x v="85"/>
    <s v="2025-05-22"/>
    <x v="0"/>
    <s v="Neha Gupta"/>
    <x v="8"/>
    <x v="4"/>
    <x v="3"/>
    <n v="4"/>
    <n v="599"/>
    <x v="11"/>
    <s v="Cash"/>
    <x v="0"/>
  </r>
  <r>
    <x v="86"/>
    <s v="2025-01-11"/>
    <x v="3"/>
    <s v="Aarav Sharma"/>
    <x v="2"/>
    <x v="2"/>
    <x v="2"/>
    <n v="5"/>
    <n v="2199"/>
    <x v="41"/>
    <s v="Credit Card"/>
    <x v="0"/>
  </r>
  <r>
    <x v="87"/>
    <s v="2025-02-05"/>
    <x v="8"/>
    <s v="Neha Gupta"/>
    <x v="4"/>
    <x v="1"/>
    <x v="1"/>
    <n v="2"/>
    <n v="7499"/>
    <x v="9"/>
    <s v="Credit Card"/>
    <x v="0"/>
  </r>
  <r>
    <x v="88"/>
    <s v="2025-01-02"/>
    <x v="3"/>
    <s v="Amit Yadav"/>
    <x v="5"/>
    <x v="6"/>
    <x v="3"/>
    <n v="5"/>
    <n v="1499"/>
    <x v="7"/>
    <s v="Credit Card"/>
    <x v="1"/>
  </r>
  <r>
    <x v="89"/>
    <s v="2025-02-26"/>
    <x v="8"/>
    <s v="Aarav Sharma"/>
    <x v="5"/>
    <x v="7"/>
    <x v="2"/>
    <n v="2"/>
    <n v="1799"/>
    <x v="21"/>
    <s v="UPI"/>
    <x v="0"/>
  </r>
  <r>
    <x v="90"/>
    <s v="2025-06-15"/>
    <x v="7"/>
    <s v="Aarav Sharma"/>
    <x v="5"/>
    <x v="2"/>
    <x v="2"/>
    <n v="5"/>
    <n v="2199"/>
    <x v="41"/>
    <s v="Debit Card"/>
    <x v="0"/>
  </r>
  <r>
    <x v="91"/>
    <s v="2025-09-27"/>
    <x v="1"/>
    <s v="Priya Verma"/>
    <x v="8"/>
    <x v="6"/>
    <x v="3"/>
    <n v="4"/>
    <n v="1499"/>
    <x v="12"/>
    <s v="Cash"/>
    <x v="2"/>
  </r>
  <r>
    <x v="92"/>
    <s v="2025-10-31"/>
    <x v="5"/>
    <s v="Priya Verma"/>
    <x v="6"/>
    <x v="3"/>
    <x v="3"/>
    <n v="5"/>
    <n v="999"/>
    <x v="10"/>
    <s v="Net Banking"/>
    <x v="0"/>
  </r>
  <r>
    <x v="93"/>
    <s v="2025-12-04"/>
    <x v="9"/>
    <s v="Amit Yadav"/>
    <x v="6"/>
    <x v="1"/>
    <x v="1"/>
    <n v="1"/>
    <n v="7499"/>
    <x v="8"/>
    <s v="UPI"/>
    <x v="0"/>
  </r>
  <r>
    <x v="94"/>
    <s v="2025-08-07"/>
    <x v="2"/>
    <s v="Priya Verma"/>
    <x v="6"/>
    <x v="5"/>
    <x v="4"/>
    <n v="4"/>
    <n v="1299"/>
    <x v="42"/>
    <s v="Cash"/>
    <x v="0"/>
  </r>
  <r>
    <x v="95"/>
    <s v="2025-11-08"/>
    <x v="6"/>
    <s v="Rahul Singh"/>
    <x v="8"/>
    <x v="8"/>
    <x v="3"/>
    <n v="3"/>
    <n v="899"/>
    <x v="43"/>
    <s v="Credit Card"/>
    <x v="0"/>
  </r>
  <r>
    <x v="96"/>
    <s v="2025-10-08"/>
    <x v="5"/>
    <s v="Sneha Mishra"/>
    <x v="7"/>
    <x v="1"/>
    <x v="1"/>
    <n v="5"/>
    <n v="7499"/>
    <x v="28"/>
    <s v="Net Banking"/>
    <x v="1"/>
  </r>
  <r>
    <x v="97"/>
    <s v="2025-09-16"/>
    <x v="1"/>
    <s v="Rohan Patel"/>
    <x v="8"/>
    <x v="7"/>
    <x v="2"/>
    <n v="4"/>
    <n v="1799"/>
    <x v="27"/>
    <s v="UPI"/>
    <x v="1"/>
  </r>
  <r>
    <x v="98"/>
    <s v="2025-08-20"/>
    <x v="2"/>
    <s v="Neha Gupta"/>
    <x v="7"/>
    <x v="2"/>
    <x v="2"/>
    <n v="4"/>
    <n v="2199"/>
    <x v="14"/>
    <s v="Debit Card"/>
    <x v="2"/>
  </r>
  <r>
    <x v="99"/>
    <s v="2025-02-18"/>
    <x v="8"/>
    <s v="Sneha Mishra"/>
    <x v="7"/>
    <x v="9"/>
    <x v="2"/>
    <n v="4"/>
    <n v="12499"/>
    <x v="24"/>
    <s v="Debit Card"/>
    <x v="0"/>
  </r>
  <r>
    <x v="100"/>
    <s v="2025-12-18"/>
    <x v="9"/>
    <s v="Ananya Das"/>
    <x v="8"/>
    <x v="3"/>
    <x v="3"/>
    <n v="2"/>
    <n v="999"/>
    <x v="15"/>
    <s v="UPI"/>
    <x v="0"/>
  </r>
  <r>
    <x v="101"/>
    <s v="2025-02-19"/>
    <x v="8"/>
    <s v="Sneha Mishra"/>
    <x v="5"/>
    <x v="8"/>
    <x v="3"/>
    <n v="4"/>
    <n v="899"/>
    <x v="44"/>
    <s v="Net Banking"/>
    <x v="0"/>
  </r>
  <r>
    <x v="102"/>
    <s v="2025-10-15"/>
    <x v="5"/>
    <s v="Sneha Mishra"/>
    <x v="8"/>
    <x v="1"/>
    <x v="1"/>
    <n v="5"/>
    <n v="7499"/>
    <x v="28"/>
    <s v="Cash"/>
    <x v="0"/>
  </r>
  <r>
    <x v="103"/>
    <s v="2025-05-28"/>
    <x v="0"/>
    <s v="Amit Yadav"/>
    <x v="2"/>
    <x v="9"/>
    <x v="2"/>
    <n v="1"/>
    <n v="12499"/>
    <x v="40"/>
    <s v="UPI"/>
    <x v="1"/>
  </r>
  <r>
    <x v="104"/>
    <s v="2025-03-21"/>
    <x v="11"/>
    <s v="Ananya Das"/>
    <x v="4"/>
    <x v="10"/>
    <x v="5"/>
    <n v="2"/>
    <n v="249"/>
    <x v="32"/>
    <s v="UPI"/>
    <x v="0"/>
  </r>
  <r>
    <x v="105"/>
    <s v="2025-02-28"/>
    <x v="8"/>
    <s v="Amit Yadav"/>
    <x v="4"/>
    <x v="10"/>
    <x v="5"/>
    <n v="3"/>
    <n v="249"/>
    <x v="39"/>
    <s v="Cash"/>
    <x v="1"/>
  </r>
  <r>
    <x v="106"/>
    <s v="2025-12-12"/>
    <x v="9"/>
    <s v="Aarav Sharma"/>
    <x v="3"/>
    <x v="1"/>
    <x v="1"/>
    <n v="5"/>
    <n v="7499"/>
    <x v="28"/>
    <s v="UPI"/>
    <x v="0"/>
  </r>
  <r>
    <x v="107"/>
    <s v="2025-06-23"/>
    <x v="7"/>
    <s v="Sneha Mishra"/>
    <x v="9"/>
    <x v="7"/>
    <x v="2"/>
    <n v="3"/>
    <n v="1799"/>
    <x v="36"/>
    <s v="Credit Card"/>
    <x v="0"/>
  </r>
  <r>
    <x v="108"/>
    <s v="2025-02-05"/>
    <x v="8"/>
    <s v="Rahul Singh"/>
    <x v="9"/>
    <x v="1"/>
    <x v="1"/>
    <n v="4"/>
    <n v="7499"/>
    <x v="1"/>
    <s v="UPI"/>
    <x v="1"/>
  </r>
  <r>
    <x v="109"/>
    <s v="2025-08-03"/>
    <x v="2"/>
    <s v="Ananya Das"/>
    <x v="2"/>
    <x v="2"/>
    <x v="2"/>
    <n v="4"/>
    <n v="2199"/>
    <x v="14"/>
    <s v="Credit Card"/>
    <x v="0"/>
  </r>
  <r>
    <x v="110"/>
    <s v="2025-10-18"/>
    <x v="5"/>
    <s v="Priya Verma"/>
    <x v="9"/>
    <x v="7"/>
    <x v="3"/>
    <n v="3"/>
    <n v="1799"/>
    <x v="36"/>
    <s v="Credit Card"/>
    <x v="0"/>
  </r>
  <r>
    <x v="111"/>
    <s v="2025-12-12"/>
    <x v="9"/>
    <s v="Priya Verma"/>
    <x v="3"/>
    <x v="1"/>
    <x v="1"/>
    <n v="1"/>
    <n v="7499"/>
    <x v="8"/>
    <s v="Cash"/>
    <x v="2"/>
  </r>
  <r>
    <x v="112"/>
    <s v="2025-08-15"/>
    <x v="2"/>
    <s v="Rohan Patel"/>
    <x v="3"/>
    <x v="5"/>
    <x v="4"/>
    <n v="5"/>
    <n v="1299"/>
    <x v="45"/>
    <s v="Credit Card"/>
    <x v="1"/>
  </r>
  <r>
    <x v="113"/>
    <s v="2025-08-09"/>
    <x v="2"/>
    <s v="Priya Verma"/>
    <x v="3"/>
    <x v="8"/>
    <x v="3"/>
    <n v="3"/>
    <n v="899"/>
    <x v="43"/>
    <s v="Net Banking"/>
    <x v="2"/>
  </r>
  <r>
    <x v="114"/>
    <s v="2025-01-24"/>
    <x v="3"/>
    <s v="Neha Gupta"/>
    <x v="7"/>
    <x v="10"/>
    <x v="5"/>
    <n v="3"/>
    <n v="249"/>
    <x v="39"/>
    <s v="Net Banking"/>
    <x v="0"/>
  </r>
  <r>
    <x v="115"/>
    <s v="2025-06-04"/>
    <x v="7"/>
    <s v="Neha Gupta"/>
    <x v="5"/>
    <x v="4"/>
    <x v="3"/>
    <n v="2"/>
    <n v="599"/>
    <x v="5"/>
    <s v="Debit Card"/>
    <x v="0"/>
  </r>
  <r>
    <x v="116"/>
    <s v="2025-01-04"/>
    <x v="3"/>
    <s v="Ananya Das"/>
    <x v="7"/>
    <x v="3"/>
    <x v="3"/>
    <n v="1"/>
    <n v="999"/>
    <x v="38"/>
    <s v="Credit Card"/>
    <x v="0"/>
  </r>
  <r>
    <x v="117"/>
    <s v="2025-12-27"/>
    <x v="9"/>
    <s v="Neha Gupta"/>
    <x v="2"/>
    <x v="9"/>
    <x v="2"/>
    <n v="5"/>
    <n v="12499"/>
    <x v="31"/>
    <s v="UPI"/>
    <x v="2"/>
  </r>
  <r>
    <x v="118"/>
    <s v="2025-01-10"/>
    <x v="3"/>
    <s v="Ananya Das"/>
    <x v="8"/>
    <x v="4"/>
    <x v="3"/>
    <n v="4"/>
    <n v="599"/>
    <x v="11"/>
    <s v="Debit Card"/>
    <x v="1"/>
  </r>
  <r>
    <x v="119"/>
    <s v="2025-07-27"/>
    <x v="10"/>
    <s v="Rohan Patel"/>
    <x v="3"/>
    <x v="9"/>
    <x v="2"/>
    <n v="5"/>
    <n v="12499"/>
    <x v="31"/>
    <s v="UPI"/>
    <x v="2"/>
  </r>
  <r>
    <x v="120"/>
    <s v="2025-03-29"/>
    <x v="11"/>
    <s v="Ananya Das"/>
    <x v="2"/>
    <x v="4"/>
    <x v="3"/>
    <n v="3"/>
    <n v="599"/>
    <x v="35"/>
    <s v="UPI"/>
    <x v="2"/>
  </r>
  <r>
    <x v="121"/>
    <s v="2025-08-12"/>
    <x v="2"/>
    <s v="Rohan Patel"/>
    <x v="8"/>
    <x v="8"/>
    <x v="3"/>
    <n v="2"/>
    <n v="899"/>
    <x v="17"/>
    <s v="Cash"/>
    <x v="0"/>
  </r>
  <r>
    <x v="122"/>
    <s v="2025-06-20"/>
    <x v="7"/>
    <s v="Rahul Singh"/>
    <x v="8"/>
    <x v="11"/>
    <x v="3"/>
    <n v="2"/>
    <n v="999"/>
    <x v="15"/>
    <s v="Net Banking"/>
    <x v="0"/>
  </r>
  <r>
    <x v="123"/>
    <s v="2025-04-10"/>
    <x v="4"/>
    <s v="Sneha Mishra"/>
    <x v="2"/>
    <x v="10"/>
    <x v="5"/>
    <n v="5"/>
    <n v="249"/>
    <x v="46"/>
    <s v="Credit Card"/>
    <x v="0"/>
  </r>
  <r>
    <x v="124"/>
    <s v="2025-05-12"/>
    <x v="0"/>
    <s v="Neha Gupta"/>
    <x v="5"/>
    <x v="8"/>
    <x v="3"/>
    <n v="2"/>
    <n v="899"/>
    <x v="17"/>
    <s v="Net Banking"/>
    <x v="0"/>
  </r>
  <r>
    <x v="125"/>
    <s v="2025-11-18"/>
    <x v="6"/>
    <s v="Ananya Das"/>
    <x v="6"/>
    <x v="8"/>
    <x v="3"/>
    <n v="2"/>
    <n v="899"/>
    <x v="17"/>
    <s v="Net Banking"/>
    <x v="1"/>
  </r>
  <r>
    <x v="126"/>
    <s v="2025-11-26"/>
    <x v="6"/>
    <s v="Sneha Mishra"/>
    <x v="2"/>
    <x v="5"/>
    <x v="4"/>
    <n v="5"/>
    <n v="1299"/>
    <x v="45"/>
    <s v="Credit Card"/>
    <x v="2"/>
  </r>
  <r>
    <x v="127"/>
    <s v="2025-08-15"/>
    <x v="2"/>
    <s v="Amit Yadav"/>
    <x v="3"/>
    <x v="8"/>
    <x v="3"/>
    <n v="4"/>
    <n v="899"/>
    <x v="44"/>
    <s v="Net Banking"/>
    <x v="0"/>
  </r>
  <r>
    <x v="128"/>
    <s v="2025-02-07"/>
    <x v="8"/>
    <s v="Amit Yadav"/>
    <x v="6"/>
    <x v="3"/>
    <x v="3"/>
    <n v="5"/>
    <n v="999"/>
    <x v="10"/>
    <s v="Cash"/>
    <x v="0"/>
  </r>
  <r>
    <x v="129"/>
    <s v="2025-05-27"/>
    <x v="0"/>
    <s v="Priya Verma"/>
    <x v="8"/>
    <x v="4"/>
    <x v="3"/>
    <n v="3"/>
    <n v="599"/>
    <x v="35"/>
    <s v="Net Banking"/>
    <x v="1"/>
  </r>
  <r>
    <x v="130"/>
    <s v="2025-08-25"/>
    <x v="2"/>
    <s v="Aarav Sharma"/>
    <x v="6"/>
    <x v="10"/>
    <x v="5"/>
    <n v="4"/>
    <n v="249"/>
    <x v="29"/>
    <s v="Net Banking"/>
    <x v="0"/>
  </r>
  <r>
    <x v="131"/>
    <s v="2025-09-01"/>
    <x v="1"/>
    <s v="Rahul Singh"/>
    <x v="9"/>
    <x v="3"/>
    <x v="3"/>
    <n v="5"/>
    <n v="999"/>
    <x v="10"/>
    <s v="Cash"/>
    <x v="0"/>
  </r>
  <r>
    <x v="132"/>
    <s v="2025-09-16"/>
    <x v="1"/>
    <s v="Rahul Singh"/>
    <x v="9"/>
    <x v="3"/>
    <x v="3"/>
    <n v="1"/>
    <n v="999"/>
    <x v="38"/>
    <s v="Credit Card"/>
    <x v="2"/>
  </r>
  <r>
    <x v="133"/>
    <s v="2025-09-25"/>
    <x v="1"/>
    <s v="Rahul Singh"/>
    <x v="2"/>
    <x v="5"/>
    <x v="4"/>
    <n v="5"/>
    <n v="1299"/>
    <x v="45"/>
    <s v="Debit Card"/>
    <x v="0"/>
  </r>
  <r>
    <x v="134"/>
    <s v="2025-06-23"/>
    <x v="7"/>
    <s v="Aarav Sharma"/>
    <x v="2"/>
    <x v="9"/>
    <x v="2"/>
    <n v="4"/>
    <n v="1499"/>
    <x v="24"/>
    <s v="UPI"/>
    <x v="0"/>
  </r>
  <r>
    <x v="135"/>
    <s v="2025-12-14"/>
    <x v="9"/>
    <s v="Rohan Patel"/>
    <x v="3"/>
    <x v="8"/>
    <x v="3"/>
    <n v="5"/>
    <n v="899"/>
    <x v="47"/>
    <s v="Debit Card"/>
    <x v="1"/>
  </r>
  <r>
    <x v="136"/>
    <s v="2025-02-11"/>
    <x v="8"/>
    <s v="Rahul Singh"/>
    <x v="2"/>
    <x v="6"/>
    <x v="3"/>
    <n v="3"/>
    <n v="1499"/>
    <x v="22"/>
    <s v="Debit Card"/>
    <x v="2"/>
  </r>
  <r>
    <x v="137"/>
    <s v="2025-12-29"/>
    <x v="9"/>
    <s v="Priya Verma"/>
    <x v="3"/>
    <x v="6"/>
    <x v="3"/>
    <n v="5"/>
    <n v="1499"/>
    <x v="7"/>
    <s v="Net Banking"/>
    <x v="2"/>
  </r>
  <r>
    <x v="138"/>
    <s v="2025-12-10"/>
    <x v="9"/>
    <s v="Priya Verma"/>
    <x v="7"/>
    <x v="3"/>
    <x v="3"/>
    <n v="2"/>
    <n v="999"/>
    <x v="15"/>
    <s v="Net Banking"/>
    <x v="0"/>
  </r>
  <r>
    <x v="139"/>
    <s v="2025-06-08"/>
    <x v="7"/>
    <s v="Rahul Singh"/>
    <x v="4"/>
    <x v="4"/>
    <x v="3"/>
    <n v="3"/>
    <n v="599"/>
    <x v="35"/>
    <s v="Debit Card"/>
    <x v="2"/>
  </r>
  <r>
    <x v="140"/>
    <s v="2025-03-12"/>
    <x v="11"/>
    <s v="Rahul Singh"/>
    <x v="8"/>
    <x v="2"/>
    <x v="2"/>
    <n v="2"/>
    <n v="2199"/>
    <x v="20"/>
    <s v="Debit Card"/>
    <x v="0"/>
  </r>
  <r>
    <x v="141"/>
    <s v="2025-09-27"/>
    <x v="1"/>
    <s v="Aarav Sharma"/>
    <x v="2"/>
    <x v="10"/>
    <x v="5"/>
    <n v="5"/>
    <n v="249"/>
    <x v="46"/>
    <s v="Net Banking"/>
    <x v="0"/>
  </r>
  <r>
    <x v="142"/>
    <s v="2025-03-20"/>
    <x v="11"/>
    <s v="Rahul Singh"/>
    <x v="5"/>
    <x v="1"/>
    <x v="1"/>
    <n v="4"/>
    <n v="7499"/>
    <x v="1"/>
    <s v="Net Banking"/>
    <x v="0"/>
  </r>
  <r>
    <x v="143"/>
    <s v="2025-07-30"/>
    <x v="10"/>
    <s v="Sneha Mishra"/>
    <x v="4"/>
    <x v="5"/>
    <x v="4"/>
    <n v="1"/>
    <n v="1299"/>
    <x v="6"/>
    <s v="Cash"/>
    <x v="1"/>
  </r>
  <r>
    <x v="144"/>
    <s v="2025-04-30"/>
    <x v="4"/>
    <s v="Neha Gupta"/>
    <x v="3"/>
    <x v="7"/>
    <x v="2"/>
    <n v="4"/>
    <n v="1799"/>
    <x v="27"/>
    <s v="Cash"/>
    <x v="0"/>
  </r>
  <r>
    <x v="145"/>
    <s v="2025-08-14"/>
    <x v="2"/>
    <s v="Ananya Das"/>
    <x v="3"/>
    <x v="3"/>
    <x v="3"/>
    <n v="5"/>
    <n v="999"/>
    <x v="10"/>
    <s v="Cash"/>
    <x v="1"/>
  </r>
  <r>
    <x v="146"/>
    <s v="2025-03-24"/>
    <x v="11"/>
    <s v="Neha Gupta"/>
    <x v="5"/>
    <x v="10"/>
    <x v="5"/>
    <n v="4"/>
    <n v="249"/>
    <x v="29"/>
    <s v="Debit Card"/>
    <x v="0"/>
  </r>
  <r>
    <x v="147"/>
    <s v="2025-10-11"/>
    <x v="5"/>
    <s v="Priya Verma"/>
    <x v="8"/>
    <x v="5"/>
    <x v="4"/>
    <n v="3"/>
    <n v="1299"/>
    <x v="30"/>
    <s v="Debit Card"/>
    <x v="0"/>
  </r>
  <r>
    <x v="148"/>
    <s v="2025-08-19"/>
    <x v="2"/>
    <s v="Rahul Singh"/>
    <x v="7"/>
    <x v="6"/>
    <x v="3"/>
    <n v="3"/>
    <n v="1499"/>
    <x v="22"/>
    <s v="UPI"/>
    <x v="0"/>
  </r>
  <r>
    <x v="149"/>
    <s v="2025-01-14"/>
    <x v="3"/>
    <s v="Rohan Patel"/>
    <x v="9"/>
    <x v="5"/>
    <x v="4"/>
    <n v="3"/>
    <n v="1299"/>
    <x v="30"/>
    <s v="Cash"/>
    <x v="1"/>
  </r>
  <r>
    <x v="150"/>
    <s v="2025-07-17"/>
    <x v="10"/>
    <s v="Priya Verma"/>
    <x v="2"/>
    <x v="3"/>
    <x v="3"/>
    <n v="2"/>
    <n v="999"/>
    <x v="15"/>
    <s v="Credit Card"/>
    <x v="0"/>
  </r>
  <r>
    <x v="151"/>
    <s v="2025-11-29"/>
    <x v="6"/>
    <s v="Sneha Mishra"/>
    <x v="5"/>
    <x v="3"/>
    <x v="3"/>
    <n v="1"/>
    <n v="999"/>
    <x v="38"/>
    <s v="Credit Card"/>
    <x v="0"/>
  </r>
  <r>
    <x v="152"/>
    <s v="2025-12-23"/>
    <x v="9"/>
    <s v="Rahul Singh"/>
    <x v="6"/>
    <x v="7"/>
    <x v="2"/>
    <n v="4"/>
    <n v="1799"/>
    <x v="27"/>
    <s v="Cash"/>
    <x v="1"/>
  </r>
  <r>
    <x v="153"/>
    <s v="2025-01-10"/>
    <x v="3"/>
    <s v="Amit Yadav"/>
    <x v="4"/>
    <x v="4"/>
    <x v="3"/>
    <n v="1"/>
    <n v="599"/>
    <x v="48"/>
    <s v="Credit Card"/>
    <x v="1"/>
  </r>
  <r>
    <x v="154"/>
    <s v="2025-08-05"/>
    <x v="2"/>
    <s v="Priya Verma"/>
    <x v="3"/>
    <x v="1"/>
    <x v="1"/>
    <n v="5"/>
    <n v="7499"/>
    <x v="28"/>
    <s v="Credit Card"/>
    <x v="0"/>
  </r>
  <r>
    <x v="155"/>
    <s v="2025-05-03"/>
    <x v="0"/>
    <s v="Rohan Patel"/>
    <x v="6"/>
    <x v="8"/>
    <x v="3"/>
    <n v="1"/>
    <n v="899"/>
    <x v="23"/>
    <s v="UPI"/>
    <x v="0"/>
  </r>
  <r>
    <x v="156"/>
    <s v="2025-10-02"/>
    <x v="5"/>
    <s v="Aarav Sharma"/>
    <x v="4"/>
    <x v="5"/>
    <x v="4"/>
    <n v="5"/>
    <n v="1299"/>
    <x v="45"/>
    <s v="Credit Card"/>
    <x v="0"/>
  </r>
  <r>
    <x v="157"/>
    <s v="2025-11-11"/>
    <x v="6"/>
    <s v="Sneha Mishra"/>
    <x v="4"/>
    <x v="9"/>
    <x v="2"/>
    <n v="1"/>
    <n v="12499"/>
    <x v="40"/>
    <s v="Net Banking"/>
    <x v="2"/>
  </r>
  <r>
    <x v="158"/>
    <s v="2025-09-26"/>
    <x v="1"/>
    <s v="Sneha Mishra"/>
    <x v="8"/>
    <x v="6"/>
    <x v="3"/>
    <n v="1"/>
    <n v="1499"/>
    <x v="26"/>
    <s v="Net Banking"/>
    <x v="1"/>
  </r>
  <r>
    <x v="159"/>
    <s v="2025-10-11"/>
    <x v="5"/>
    <s v="Aarav Sharma"/>
    <x v="7"/>
    <x v="10"/>
    <x v="5"/>
    <n v="5"/>
    <n v="249"/>
    <x v="46"/>
    <s v="Cash"/>
    <x v="0"/>
  </r>
  <r>
    <x v="160"/>
    <s v="2025-05-10"/>
    <x v="0"/>
    <s v="Aarav Sharma"/>
    <x v="2"/>
    <x v="9"/>
    <x v="2"/>
    <n v="3"/>
    <n v="12499"/>
    <x v="33"/>
    <s v="UPI"/>
    <x v="0"/>
  </r>
  <r>
    <x v="161"/>
    <s v="2025-10-25"/>
    <x v="5"/>
    <s v="Sneha Mishra"/>
    <x v="5"/>
    <x v="2"/>
    <x v="2"/>
    <n v="1"/>
    <m/>
    <x v="19"/>
    <s v="UPI"/>
    <x v="0"/>
  </r>
  <r>
    <x v="162"/>
    <s v="2025-11-26"/>
    <x v="6"/>
    <s v="Rahul Singh"/>
    <x v="6"/>
    <x v="10"/>
    <x v="5"/>
    <n v="3"/>
    <n v="249"/>
    <x v="39"/>
    <s v="Cash"/>
    <x v="0"/>
  </r>
  <r>
    <x v="163"/>
    <s v="2025-08-23"/>
    <x v="2"/>
    <s v="Aarav Sharma"/>
    <x v="3"/>
    <x v="6"/>
    <x v="3"/>
    <n v="1"/>
    <n v="1499"/>
    <x v="26"/>
    <s v="Credit Card"/>
    <x v="0"/>
  </r>
  <r>
    <x v="164"/>
    <s v="2025-06-11"/>
    <x v="7"/>
    <s v="Amit Yadav"/>
    <x v="7"/>
    <x v="2"/>
    <x v="2"/>
    <n v="1"/>
    <n v="2199"/>
    <x v="19"/>
    <s v="Net Banking"/>
    <x v="2"/>
  </r>
  <r>
    <x v="165"/>
    <s v="2025-11-28"/>
    <x v="6"/>
    <s v="Neha Gupta"/>
    <x v="3"/>
    <x v="7"/>
    <x v="2"/>
    <n v="1"/>
    <n v="1799"/>
    <x v="25"/>
    <s v="Debit Card"/>
    <x v="0"/>
  </r>
  <r>
    <x v="166"/>
    <s v="2025-03-05"/>
    <x v="11"/>
    <s v="Sneha Mishra"/>
    <x v="7"/>
    <x v="3"/>
    <x v="3"/>
    <n v="3"/>
    <n v="999"/>
    <x v="18"/>
    <s v="Cash"/>
    <x v="2"/>
  </r>
  <r>
    <x v="167"/>
    <s v="2025-04-06"/>
    <x v="4"/>
    <s v="Ananya Das"/>
    <x v="6"/>
    <x v="9"/>
    <x v="2"/>
    <n v="3"/>
    <n v="12499"/>
    <x v="33"/>
    <s v="Debit Card"/>
    <x v="1"/>
  </r>
  <r>
    <x v="168"/>
    <s v="2025-08-06"/>
    <x v="2"/>
    <s v="Priya Verma"/>
    <x v="7"/>
    <x v="7"/>
    <x v="2"/>
    <n v="1"/>
    <n v="1799"/>
    <x v="25"/>
    <s v="Net Banking"/>
    <x v="0"/>
  </r>
  <r>
    <x v="169"/>
    <s v="2025-06-14"/>
    <x v="7"/>
    <s v="Priya Verma"/>
    <x v="8"/>
    <x v="10"/>
    <x v="5"/>
    <n v="3"/>
    <n v="249"/>
    <x v="39"/>
    <s v="Debit Card"/>
    <x v="0"/>
  </r>
  <r>
    <x v="170"/>
    <s v="2025-11-05"/>
    <x v="6"/>
    <s v="Rohan Patel"/>
    <x v="5"/>
    <x v="7"/>
    <x v="2"/>
    <n v="4"/>
    <n v="1799"/>
    <x v="27"/>
    <s v="Cash"/>
    <x v="0"/>
  </r>
  <r>
    <x v="171"/>
    <s v="2025-06-30"/>
    <x v="7"/>
    <s v="Rohan Patel"/>
    <x v="3"/>
    <x v="5"/>
    <x v="4"/>
    <n v="1"/>
    <n v="1299"/>
    <x v="6"/>
    <s v="UPI"/>
    <x v="0"/>
  </r>
  <r>
    <x v="172"/>
    <s v="2025-09-20"/>
    <x v="1"/>
    <s v="Rahul Singh"/>
    <x v="9"/>
    <x v="9"/>
    <x v="2"/>
    <n v="3"/>
    <n v="12499"/>
    <x v="33"/>
    <s v="Credit Card"/>
    <x v="1"/>
  </r>
  <r>
    <x v="173"/>
    <s v="2025-03-06"/>
    <x v="11"/>
    <s v="Priya Verma"/>
    <x v="4"/>
    <x v="5"/>
    <x v="4"/>
    <n v="1"/>
    <n v="1299"/>
    <x v="6"/>
    <s v="Debit Card"/>
    <x v="0"/>
  </r>
  <r>
    <x v="174"/>
    <s v="2025-01-17"/>
    <x v="3"/>
    <s v="Rahul Singh"/>
    <x v="6"/>
    <x v="9"/>
    <x v="2"/>
    <n v="5"/>
    <n v="12499"/>
    <x v="31"/>
    <s v="Debit Card"/>
    <x v="0"/>
  </r>
  <r>
    <x v="175"/>
    <s v="2025-10-21"/>
    <x v="5"/>
    <s v="Rahul Singh"/>
    <x v="2"/>
    <x v="5"/>
    <x v="4"/>
    <n v="1"/>
    <n v="1299"/>
    <x v="6"/>
    <s v="Cash"/>
    <x v="0"/>
  </r>
  <r>
    <x v="176"/>
    <s v="2025-02-28"/>
    <x v="8"/>
    <s v="Aarav Sharma"/>
    <x v="5"/>
    <x v="7"/>
    <x v="2"/>
    <n v="2"/>
    <n v="1799"/>
    <x v="21"/>
    <s v="Cash"/>
    <x v="1"/>
  </r>
  <r>
    <x v="177"/>
    <s v="2025-03-02"/>
    <x v="11"/>
    <s v="Amit Yadav"/>
    <x v="3"/>
    <x v="9"/>
    <x v="2"/>
    <n v="5"/>
    <n v="12499"/>
    <x v="31"/>
    <s v="Cash"/>
    <x v="0"/>
  </r>
  <r>
    <x v="178"/>
    <s v="2025-12-22"/>
    <x v="9"/>
    <s v="Ananya Das"/>
    <x v="4"/>
    <x v="1"/>
    <x v="1"/>
    <n v="3"/>
    <n v="7499"/>
    <x v="13"/>
    <s v="UPI"/>
    <x v="0"/>
  </r>
  <r>
    <x v="179"/>
    <s v="2025-03-30"/>
    <x v="11"/>
    <s v="Ananya Das"/>
    <x v="8"/>
    <x v="8"/>
    <x v="3"/>
    <n v="4"/>
    <n v="899"/>
    <x v="44"/>
    <s v="Debit Card"/>
    <x v="0"/>
  </r>
  <r>
    <x v="180"/>
    <s v="2025-10-05"/>
    <x v="5"/>
    <s v="Amit Yadav"/>
    <x v="3"/>
    <x v="8"/>
    <x v="3"/>
    <n v="5"/>
    <n v="899"/>
    <x v="47"/>
    <s v="Credit Card"/>
    <x v="0"/>
  </r>
  <r>
    <x v="181"/>
    <s v="2025-04-25"/>
    <x v="4"/>
    <s v="Priya Verma"/>
    <x v="4"/>
    <x v="3"/>
    <x v="3"/>
    <n v="5"/>
    <n v="999"/>
    <x v="10"/>
    <s v="Credit Card"/>
    <x v="0"/>
  </r>
  <r>
    <x v="182"/>
    <s v="2025-07-04"/>
    <x v="10"/>
    <s v="Sneha Mishra"/>
    <x v="6"/>
    <x v="5"/>
    <x v="4"/>
    <n v="1"/>
    <n v="1299"/>
    <x v="6"/>
    <s v="Net Banking"/>
    <x v="0"/>
  </r>
  <r>
    <x v="183"/>
    <s v="2025-02-03"/>
    <x v="8"/>
    <s v="Amit Yadav"/>
    <x v="7"/>
    <x v="1"/>
    <x v="1"/>
    <n v="1"/>
    <n v="7499"/>
    <x v="8"/>
    <s v="Cash"/>
    <x v="1"/>
  </r>
  <r>
    <x v="184"/>
    <s v="2025-10-22"/>
    <x v="5"/>
    <s v="Priya Verma"/>
    <x v="5"/>
    <x v="9"/>
    <x v="2"/>
    <n v="4"/>
    <n v="12499"/>
    <x v="24"/>
    <s v="Debit Card"/>
    <x v="0"/>
  </r>
  <r>
    <x v="185"/>
    <s v="2025-12-15"/>
    <x v="9"/>
    <s v="Sneha Mishra"/>
    <x v="5"/>
    <x v="5"/>
    <x v="4"/>
    <n v="4"/>
    <n v="1299"/>
    <x v="42"/>
    <s v="Net Banking"/>
    <x v="1"/>
  </r>
  <r>
    <x v="186"/>
    <s v="2025-08-10"/>
    <x v="2"/>
    <s v="Aarav Sharma"/>
    <x v="8"/>
    <x v="6"/>
    <x v="3"/>
    <n v="2"/>
    <n v="1499"/>
    <x v="49"/>
    <s v="Net Banking"/>
    <x v="0"/>
  </r>
  <r>
    <x v="187"/>
    <s v="2025-03-24"/>
    <x v="11"/>
    <s v="Sneha Mishra"/>
    <x v="4"/>
    <x v="7"/>
    <x v="2"/>
    <n v="2"/>
    <n v="1799"/>
    <x v="21"/>
    <s v="Debit Card"/>
    <x v="1"/>
  </r>
  <r>
    <x v="188"/>
    <s v="2025-05-09"/>
    <x v="0"/>
    <s v="Neha Gupta"/>
    <x v="3"/>
    <x v="7"/>
    <x v="2"/>
    <n v="1"/>
    <n v="1799"/>
    <x v="25"/>
    <s v="Credit Card"/>
    <x v="0"/>
  </r>
  <r>
    <x v="189"/>
    <s v="2025-02-17"/>
    <x v="8"/>
    <s v="Rahul Singh"/>
    <x v="5"/>
    <x v="1"/>
    <x v="1"/>
    <n v="5"/>
    <n v="7499"/>
    <x v="28"/>
    <s v="Credit Card"/>
    <x v="1"/>
  </r>
  <r>
    <x v="190"/>
    <s v="2025-10-16"/>
    <x v="5"/>
    <s v="Aarav Sharma"/>
    <x v="9"/>
    <x v="1"/>
    <x v="1"/>
    <n v="3"/>
    <n v="7499"/>
    <x v="13"/>
    <s v="UPI"/>
    <x v="0"/>
  </r>
  <r>
    <x v="191"/>
    <s v="2025-11-30"/>
    <x v="6"/>
    <s v="Neha Gupta"/>
    <x v="7"/>
    <x v="1"/>
    <x v="1"/>
    <n v="3"/>
    <n v="7499"/>
    <x v="13"/>
    <s v="Net Banking"/>
    <x v="0"/>
  </r>
  <r>
    <x v="192"/>
    <s v="2025-05-29"/>
    <x v="0"/>
    <s v="Amit Yadav"/>
    <x v="6"/>
    <x v="5"/>
    <x v="4"/>
    <n v="5"/>
    <n v="1299"/>
    <x v="45"/>
    <s v="Credit Card"/>
    <x v="2"/>
  </r>
  <r>
    <x v="193"/>
    <s v="2025-04-15"/>
    <x v="4"/>
    <s v="Sneha Mishra"/>
    <x v="5"/>
    <x v="5"/>
    <x v="4"/>
    <n v="4"/>
    <n v="1299"/>
    <x v="42"/>
    <s v="Debit Card"/>
    <x v="0"/>
  </r>
  <r>
    <x v="194"/>
    <s v="2025-03-08"/>
    <x v="11"/>
    <s v="Sneha Mishra"/>
    <x v="8"/>
    <x v="3"/>
    <x v="3"/>
    <n v="4"/>
    <n v="999"/>
    <x v="3"/>
    <s v="Debit Card"/>
    <x v="0"/>
  </r>
  <r>
    <x v="195"/>
    <s v="2025-05-17"/>
    <x v="0"/>
    <s v="Ananya Das"/>
    <x v="4"/>
    <x v="5"/>
    <x v="4"/>
    <n v="1"/>
    <n v="1299"/>
    <x v="6"/>
    <s v="Credit Card"/>
    <x v="0"/>
  </r>
  <r>
    <x v="196"/>
    <s v="2025-07-16"/>
    <x v="10"/>
    <s v="Rohan Patel"/>
    <x v="4"/>
    <x v="4"/>
    <x v="3"/>
    <n v="3"/>
    <n v="599"/>
    <x v="35"/>
    <s v="Credit Card"/>
    <x v="0"/>
  </r>
  <r>
    <x v="197"/>
    <s v="2025-04-08"/>
    <x v="4"/>
    <s v="Rahul Singh"/>
    <x v="6"/>
    <x v="1"/>
    <x v="1"/>
    <n v="3"/>
    <n v="7499"/>
    <x v="13"/>
    <s v="Net Banking"/>
    <x v="2"/>
  </r>
  <r>
    <x v="198"/>
    <s v="2025-09-12"/>
    <x v="1"/>
    <s v="Aarav Sharma"/>
    <x v="8"/>
    <x v="5"/>
    <x v="4"/>
    <n v="3"/>
    <n v="1299"/>
    <x v="30"/>
    <s v="Cash"/>
    <x v="1"/>
  </r>
  <r>
    <x v="199"/>
    <s v="2025-04-21"/>
    <x v="4"/>
    <s v="Sneha Mishra"/>
    <x v="9"/>
    <x v="5"/>
    <x v="4"/>
    <n v="2"/>
    <n v="1299"/>
    <x v="34"/>
    <s v="UPI"/>
    <x v="0"/>
  </r>
  <r>
    <x v="200"/>
    <s v="2025-12-01"/>
    <x v="9"/>
    <s v="Ananya Das"/>
    <x v="3"/>
    <x v="5"/>
    <x v="4"/>
    <n v="5"/>
    <n v="1299"/>
    <x v="45"/>
    <s v="Net Banking"/>
    <x v="0"/>
  </r>
  <r>
    <x v="201"/>
    <s v="2025-03-10"/>
    <x v="11"/>
    <s v="Amit Yadav"/>
    <x v="2"/>
    <x v="8"/>
    <x v="3"/>
    <n v="4"/>
    <n v="899"/>
    <x v="44"/>
    <s v="Cash"/>
    <x v="0"/>
  </r>
  <r>
    <x v="202"/>
    <s v="2025-01-27"/>
    <x v="3"/>
    <s v="Neha Gupta"/>
    <x v="2"/>
    <x v="4"/>
    <x v="3"/>
    <n v="4"/>
    <n v="599"/>
    <x v="11"/>
    <s v="Net Banking"/>
    <x v="0"/>
  </r>
  <r>
    <x v="203"/>
    <s v="2025-09-16"/>
    <x v="1"/>
    <s v="Ananya Das"/>
    <x v="3"/>
    <x v="8"/>
    <x v="3"/>
    <n v="4"/>
    <n v="899"/>
    <x v="44"/>
    <s v="Net Banking"/>
    <x v="1"/>
  </r>
  <r>
    <x v="204"/>
    <s v="2025-02-19"/>
    <x v="8"/>
    <s v="Rohan Patel"/>
    <x v="2"/>
    <x v="8"/>
    <x v="3"/>
    <n v="2"/>
    <n v="899"/>
    <x v="17"/>
    <s v="Debit Card"/>
    <x v="1"/>
  </r>
  <r>
    <x v="205"/>
    <s v="2025-04-12"/>
    <x v="4"/>
    <s v="Rohan Patel"/>
    <x v="9"/>
    <x v="3"/>
    <x v="3"/>
    <n v="2"/>
    <n v="999"/>
    <x v="15"/>
    <s v="UPI"/>
    <x v="0"/>
  </r>
  <r>
    <x v="206"/>
    <s v="2025-08-31"/>
    <x v="2"/>
    <s v="Ananya Das"/>
    <x v="5"/>
    <x v="6"/>
    <x v="3"/>
    <n v="3"/>
    <n v="1499"/>
    <x v="22"/>
    <s v="Net Banking"/>
    <x v="1"/>
  </r>
  <r>
    <x v="207"/>
    <s v="2025-11-10"/>
    <x v="6"/>
    <s v="Sneha Mishra"/>
    <x v="5"/>
    <x v="6"/>
    <x v="3"/>
    <n v="3"/>
    <n v="1499"/>
    <x v="22"/>
    <s v="Cash"/>
    <x v="1"/>
  </r>
  <r>
    <x v="208"/>
    <s v="2025-06-22"/>
    <x v="7"/>
    <s v="Ananya Das"/>
    <x v="3"/>
    <x v="7"/>
    <x v="2"/>
    <n v="5"/>
    <n v="1799"/>
    <x v="16"/>
    <s v="Cash"/>
    <x v="0"/>
  </r>
  <r>
    <x v="209"/>
    <s v="2025-12-11"/>
    <x v="9"/>
    <s v="Priya Verma"/>
    <x v="7"/>
    <x v="3"/>
    <x v="3"/>
    <n v="3"/>
    <n v="999"/>
    <x v="18"/>
    <s v="Net Banking"/>
    <x v="0"/>
  </r>
  <r>
    <x v="210"/>
    <s v="2025-08-31"/>
    <x v="2"/>
    <s v="Amit Yadav"/>
    <x v="4"/>
    <x v="4"/>
    <x v="3"/>
    <n v="5"/>
    <n v="599"/>
    <x v="4"/>
    <s v="UPI"/>
    <x v="1"/>
  </r>
  <r>
    <x v="211"/>
    <s v="2025-09-26"/>
    <x v="1"/>
    <s v="Rohan Patel"/>
    <x v="5"/>
    <x v="5"/>
    <x v="4"/>
    <n v="2"/>
    <n v="1299"/>
    <x v="34"/>
    <s v="Credit Card"/>
    <x v="0"/>
  </r>
  <r>
    <x v="212"/>
    <s v="2025-04-08"/>
    <x v="4"/>
    <s v="Aarav Sharma"/>
    <x v="6"/>
    <x v="1"/>
    <x v="1"/>
    <n v="1"/>
    <n v="7499"/>
    <x v="8"/>
    <s v="Debit Card"/>
    <x v="2"/>
  </r>
  <r>
    <x v="213"/>
    <s v="2025-12-20"/>
    <x v="9"/>
    <s v="Neha Gupta"/>
    <x v="7"/>
    <x v="6"/>
    <x v="3"/>
    <n v="4"/>
    <n v="1499"/>
    <x v="12"/>
    <s v="Net Banking"/>
    <x v="1"/>
  </r>
  <r>
    <x v="214"/>
    <s v="2025-12-28"/>
    <x v="9"/>
    <s v="Rahul Singh"/>
    <x v="4"/>
    <x v="5"/>
    <x v="4"/>
    <n v="1"/>
    <n v="1299"/>
    <x v="6"/>
    <s v="Net Banking"/>
    <x v="0"/>
  </r>
  <r>
    <x v="215"/>
    <s v="2025-07-12"/>
    <x v="10"/>
    <s v="Sneha Mishra"/>
    <x v="5"/>
    <x v="5"/>
    <x v="4"/>
    <n v="5"/>
    <n v="1299"/>
    <x v="50"/>
    <s v="Cash"/>
    <x v="1"/>
  </r>
  <r>
    <x v="216"/>
    <s v="2025-07-01"/>
    <x v="10"/>
    <s v="Amit Yadav"/>
    <x v="6"/>
    <x v="3"/>
    <x v="3"/>
    <n v="5"/>
    <n v="999"/>
    <x v="10"/>
    <s v="Credit Card"/>
    <x v="0"/>
  </r>
  <r>
    <x v="217"/>
    <s v="2025-06-02"/>
    <x v="7"/>
    <s v="Neha Gupta"/>
    <x v="3"/>
    <x v="7"/>
    <x v="2"/>
    <n v="5"/>
    <n v="1799"/>
    <x v="16"/>
    <s v="Debit Card"/>
    <x v="0"/>
  </r>
  <r>
    <x v="218"/>
    <s v="2025-09-03"/>
    <x v="1"/>
    <s v="Sneha Mishra"/>
    <x v="3"/>
    <x v="5"/>
    <x v="4"/>
    <n v="3"/>
    <n v="1299"/>
    <x v="30"/>
    <s v="Debit Card"/>
    <x v="0"/>
  </r>
  <r>
    <x v="219"/>
    <s v="2025-07-14"/>
    <x v="10"/>
    <s v="Rohan Patel"/>
    <x v="2"/>
    <x v="1"/>
    <x v="1"/>
    <n v="5"/>
    <n v="7499"/>
    <x v="28"/>
    <s v="Credit Card"/>
    <x v="0"/>
  </r>
  <r>
    <x v="220"/>
    <s v="2025-02-10"/>
    <x v="8"/>
    <s v="Sneha Mishra"/>
    <x v="6"/>
    <x v="4"/>
    <x v="3"/>
    <n v="3"/>
    <n v="599"/>
    <x v="35"/>
    <s v="Debit Card"/>
    <x v="2"/>
  </r>
  <r>
    <x v="221"/>
    <s v="2025-10-03"/>
    <x v="5"/>
    <s v="Amit Yadav"/>
    <x v="3"/>
    <x v="2"/>
    <x v="2"/>
    <n v="2"/>
    <n v="2199"/>
    <x v="20"/>
    <s v="Credit Card"/>
    <x v="0"/>
  </r>
  <r>
    <x v="222"/>
    <s v="2025-05-03"/>
    <x v="0"/>
    <s v="Neha Gupta"/>
    <x v="9"/>
    <x v="1"/>
    <x v="1"/>
    <n v="5"/>
    <n v="7499"/>
    <x v="28"/>
    <s v="Net Banking"/>
    <x v="0"/>
  </r>
  <r>
    <x v="223"/>
    <s v="2025-02-21"/>
    <x v="8"/>
    <s v="Rohan Patel"/>
    <x v="2"/>
    <x v="2"/>
    <x v="2"/>
    <n v="1"/>
    <n v="2199"/>
    <x v="19"/>
    <s v="Cash"/>
    <x v="0"/>
  </r>
  <r>
    <x v="224"/>
    <s v="2025-10-09"/>
    <x v="5"/>
    <s v="Rahul Singh"/>
    <x v="7"/>
    <x v="6"/>
    <x v="3"/>
    <n v="1"/>
    <n v="1499"/>
    <x v="26"/>
    <s v="Cash"/>
    <x v="2"/>
  </r>
  <r>
    <x v="225"/>
    <s v="2025-06-14"/>
    <x v="7"/>
    <s v="Amit Yadav"/>
    <x v="9"/>
    <x v="2"/>
    <x v="2"/>
    <n v="3"/>
    <n v="2199"/>
    <x v="2"/>
    <s v="UPI"/>
    <x v="1"/>
  </r>
  <r>
    <x v="226"/>
    <s v="2025-01-20"/>
    <x v="3"/>
    <s v="Rahul Singh"/>
    <x v="7"/>
    <x v="2"/>
    <x v="2"/>
    <n v="5"/>
    <n v="2199"/>
    <x v="41"/>
    <s v="Credit Card"/>
    <x v="0"/>
  </r>
  <r>
    <x v="227"/>
    <s v="2025-04-06"/>
    <x v="4"/>
    <s v="Amit Yadav"/>
    <x v="9"/>
    <x v="9"/>
    <x v="2"/>
    <n v="4"/>
    <n v="12499"/>
    <x v="24"/>
    <s v="UPI"/>
    <x v="4"/>
  </r>
  <r>
    <x v="228"/>
    <s v="2025-02-24"/>
    <x v="8"/>
    <s v="Sneha Mishra"/>
    <x v="3"/>
    <x v="1"/>
    <x v="1"/>
    <n v="5"/>
    <n v="7499"/>
    <x v="28"/>
    <s v="Cash"/>
    <x v="1"/>
  </r>
  <r>
    <x v="229"/>
    <s v="2025-03-10"/>
    <x v="11"/>
    <s v="Ananya Das"/>
    <x v="3"/>
    <x v="10"/>
    <x v="5"/>
    <n v="4"/>
    <n v="249"/>
    <x v="29"/>
    <s v="Credit Card"/>
    <x v="0"/>
  </r>
  <r>
    <x v="230"/>
    <s v="2025-08-23"/>
    <x v="2"/>
    <s v="Amit Yadav"/>
    <x v="5"/>
    <x v="3"/>
    <x v="3"/>
    <n v="2"/>
    <n v="999"/>
    <x v="15"/>
    <s v="UPI"/>
    <x v="0"/>
  </r>
  <r>
    <x v="231"/>
    <s v="2025-12-12"/>
    <x v="9"/>
    <s v="Neha Gupta"/>
    <x v="5"/>
    <x v="7"/>
    <x v="2"/>
    <n v="5"/>
    <n v="1799"/>
    <x v="16"/>
    <s v="Net Banking"/>
    <x v="2"/>
  </r>
  <r>
    <x v="232"/>
    <s v="2025-06-17"/>
    <x v="7"/>
    <s v="Priya Verma"/>
    <x v="7"/>
    <x v="9"/>
    <x v="2"/>
    <n v="5"/>
    <n v="12499"/>
    <x v="31"/>
    <s v="UPI"/>
    <x v="0"/>
  </r>
  <r>
    <x v="233"/>
    <s v="2025-06-15"/>
    <x v="7"/>
    <s v="Neha Gupta"/>
    <x v="9"/>
    <x v="6"/>
    <x v="3"/>
    <n v="4"/>
    <n v="1499"/>
    <x v="12"/>
    <s v="Debit Card"/>
    <x v="2"/>
  </r>
  <r>
    <x v="234"/>
    <s v="2025-05-17"/>
    <x v="0"/>
    <s v="Sneha Mishra"/>
    <x v="3"/>
    <x v="2"/>
    <x v="2"/>
    <n v="4"/>
    <n v="2199"/>
    <x v="14"/>
    <s v="Net Banking"/>
    <x v="1"/>
  </r>
  <r>
    <x v="235"/>
    <s v="2025-12-01"/>
    <x v="9"/>
    <s v="Sneha Mishra"/>
    <x v="4"/>
    <x v="4"/>
    <x v="3"/>
    <n v="3"/>
    <n v="599"/>
    <x v="35"/>
    <s v="UPI"/>
    <x v="0"/>
  </r>
  <r>
    <x v="236"/>
    <s v="2025-03-23"/>
    <x v="11"/>
    <s v="Rohan Patel"/>
    <x v="3"/>
    <x v="5"/>
    <x v="4"/>
    <n v="3"/>
    <n v="1299"/>
    <x v="30"/>
    <s v="UPI"/>
    <x v="0"/>
  </r>
  <r>
    <x v="237"/>
    <s v="2025-04-24"/>
    <x v="4"/>
    <s v="Neha Gupta"/>
    <x v="5"/>
    <x v="3"/>
    <x v="3"/>
    <n v="5"/>
    <n v="999"/>
    <x v="10"/>
    <s v="Cash"/>
    <x v="0"/>
  </r>
  <r>
    <x v="238"/>
    <s v="2025-07-11"/>
    <x v="10"/>
    <s v="Rohan Patel"/>
    <x v="6"/>
    <x v="5"/>
    <x v="4"/>
    <n v="5"/>
    <n v="1299"/>
    <x v="45"/>
    <s v="Net Banking"/>
    <x v="0"/>
  </r>
  <r>
    <x v="239"/>
    <s v="2025-02-11"/>
    <x v="8"/>
    <s v="Ananya Das"/>
    <x v="2"/>
    <x v="2"/>
    <x v="2"/>
    <n v="5"/>
    <n v="2199"/>
    <x v="41"/>
    <s v="UPI"/>
    <x v="1"/>
  </r>
  <r>
    <x v="240"/>
    <s v="2025-10-08"/>
    <x v="5"/>
    <s v="Neha Gupta"/>
    <x v="5"/>
    <x v="8"/>
    <x v="3"/>
    <n v="1"/>
    <n v="899"/>
    <x v="23"/>
    <s v="Credit Card"/>
    <x v="0"/>
  </r>
  <r>
    <x v="241"/>
    <s v="2025-03-01"/>
    <x v="11"/>
    <s v="Neha Gupta"/>
    <x v="6"/>
    <x v="10"/>
    <x v="5"/>
    <n v="4"/>
    <n v="249"/>
    <x v="29"/>
    <s v="UPI"/>
    <x v="1"/>
  </r>
  <r>
    <x v="242"/>
    <s v="2025-08-21"/>
    <x v="2"/>
    <s v="Rahul Singh"/>
    <x v="7"/>
    <x v="5"/>
    <x v="4"/>
    <n v="1"/>
    <n v="1299"/>
    <x v="6"/>
    <s v="Cash"/>
    <x v="1"/>
  </r>
  <r>
    <x v="243"/>
    <s v="2025-08-25"/>
    <x v="2"/>
    <s v="Amit Yadav"/>
    <x v="9"/>
    <x v="4"/>
    <x v="3"/>
    <n v="5"/>
    <n v="599"/>
    <x v="4"/>
    <s v="Cash"/>
    <x v="0"/>
  </r>
  <r>
    <x v="244"/>
    <s v="2025-10-24"/>
    <x v="5"/>
    <s v="Priya Verma"/>
    <x v="9"/>
    <x v="4"/>
    <x v="3"/>
    <n v="2"/>
    <n v="599"/>
    <x v="5"/>
    <s v="Cash"/>
    <x v="0"/>
  </r>
  <r>
    <x v="245"/>
    <s v="2025-01-31"/>
    <x v="3"/>
    <s v="Priya Verma"/>
    <x v="6"/>
    <x v="8"/>
    <x v="3"/>
    <n v="5"/>
    <n v="899"/>
    <x v="47"/>
    <s v="UPI"/>
    <x v="0"/>
  </r>
  <r>
    <x v="246"/>
    <d v="2025-03-11T00:00:00"/>
    <x v="11"/>
    <s v="Rohan Patel"/>
    <x v="2"/>
    <x v="9"/>
    <x v="2"/>
    <n v="2"/>
    <n v="12499"/>
    <x v="51"/>
    <s v="Cash"/>
    <x v="2"/>
  </r>
  <r>
    <x v="247"/>
    <s v="2025-02-11"/>
    <x v="8"/>
    <s v="Rahul Singh"/>
    <x v="2"/>
    <x v="9"/>
    <x v="2"/>
    <n v="4"/>
    <n v="12499"/>
    <x v="24"/>
    <s v="UPI"/>
    <x v="0"/>
  </r>
  <r>
    <x v="248"/>
    <s v="2025-09-28"/>
    <x v="1"/>
    <s v="Rahul Singh"/>
    <x v="4"/>
    <x v="10"/>
    <x v="5"/>
    <n v="4"/>
    <n v="249"/>
    <x v="29"/>
    <s v="UPI"/>
    <x v="0"/>
  </r>
  <r>
    <x v="249"/>
    <s v="2025-12-11"/>
    <x v="9"/>
    <s v="Rohan Patel"/>
    <x v="7"/>
    <x v="7"/>
    <x v="2"/>
    <n v="4"/>
    <n v="1799"/>
    <x v="27"/>
    <s v="Credit Card"/>
    <x v="0"/>
  </r>
  <r>
    <x v="250"/>
    <s v="2025-03-21"/>
    <x v="11"/>
    <s v="Amit Yadav"/>
    <x v="4"/>
    <x v="5"/>
    <x v="4"/>
    <n v="3"/>
    <n v="1299"/>
    <x v="30"/>
    <s v="UPI"/>
    <x v="0"/>
  </r>
  <r>
    <x v="251"/>
    <s v="2025-01-09"/>
    <x v="3"/>
    <s v="Neha Gupta"/>
    <x v="4"/>
    <x v="9"/>
    <x v="2"/>
    <n v="5"/>
    <n v="12499"/>
    <x v="31"/>
    <s v="UPI"/>
    <x v="0"/>
  </r>
  <r>
    <x v="252"/>
    <s v="2025-08-17"/>
    <x v="2"/>
    <s v="Aarav Sharma"/>
    <x v="4"/>
    <x v="1"/>
    <x v="1"/>
    <n v="1"/>
    <n v="7499"/>
    <x v="8"/>
    <s v="UPI"/>
    <x v="2"/>
  </r>
  <r>
    <x v="253"/>
    <s v="2025-10-04"/>
    <x v="5"/>
    <s v="Neha Gupta"/>
    <x v="9"/>
    <x v="5"/>
    <x v="4"/>
    <n v="2"/>
    <n v="1299"/>
    <x v="34"/>
    <s v="Credit Card"/>
    <x v="1"/>
  </r>
  <r>
    <x v="254"/>
    <s v="2025-10-22"/>
    <x v="5"/>
    <s v="Sneha Mishra"/>
    <x v="2"/>
    <x v="7"/>
    <x v="2"/>
    <n v="2"/>
    <n v="1799"/>
    <x v="21"/>
    <s v="Credit Card"/>
    <x v="0"/>
  </r>
  <r>
    <x v="255"/>
    <s v="2025-04-24"/>
    <x v="4"/>
    <s v="Rohan Patel"/>
    <x v="3"/>
    <x v="6"/>
    <x v="3"/>
    <n v="5"/>
    <n v="1499"/>
    <x v="7"/>
    <s v="Debit Card"/>
    <x v="0"/>
  </r>
  <r>
    <x v="256"/>
    <s v="2025-03-31"/>
    <x v="11"/>
    <s v="Rohan Patel"/>
    <x v="6"/>
    <x v="10"/>
    <x v="5"/>
    <n v="5"/>
    <n v="249"/>
    <x v="46"/>
    <s v="UPI"/>
    <x v="0"/>
  </r>
  <r>
    <x v="257"/>
    <s v="2025-06-13"/>
    <x v="7"/>
    <s v="Rohan Patel"/>
    <x v="7"/>
    <x v="9"/>
    <x v="2"/>
    <n v="5"/>
    <n v="12499"/>
    <x v="31"/>
    <s v="Credit Card"/>
    <x v="0"/>
  </r>
  <r>
    <x v="258"/>
    <s v="2025-10-03"/>
    <x v="5"/>
    <s v="Ananya Das"/>
    <x v="4"/>
    <x v="9"/>
    <x v="2"/>
    <n v="2"/>
    <n v="12499"/>
    <x v="51"/>
    <s v="Credit Card"/>
    <x v="0"/>
  </r>
  <r>
    <x v="259"/>
    <s v="2025-01-30"/>
    <x v="3"/>
    <s v="Rohan Patel"/>
    <x v="7"/>
    <x v="6"/>
    <x v="3"/>
    <n v="4"/>
    <n v="1499"/>
    <x v="12"/>
    <s v="Net Banking"/>
    <x v="1"/>
  </r>
  <r>
    <x v="260"/>
    <s v="2025-05-05"/>
    <x v="0"/>
    <s v="Amit Yadav"/>
    <x v="4"/>
    <x v="6"/>
    <x v="3"/>
    <n v="4"/>
    <n v="1499"/>
    <x v="12"/>
    <s v="Debit Card"/>
    <x v="0"/>
  </r>
  <r>
    <x v="261"/>
    <s v="2025-02-17"/>
    <x v="8"/>
    <s v="Neha Gupta"/>
    <x v="9"/>
    <x v="5"/>
    <x v="4"/>
    <n v="3"/>
    <n v="1299"/>
    <x v="30"/>
    <s v="Debit Card"/>
    <x v="2"/>
  </r>
  <r>
    <x v="262"/>
    <s v="2025-01-21"/>
    <x v="3"/>
    <s v="Priya Verma"/>
    <x v="4"/>
    <x v="1"/>
    <x v="1"/>
    <n v="5"/>
    <n v="7499"/>
    <x v="28"/>
    <s v="Net Banking"/>
    <x v="1"/>
  </r>
  <r>
    <x v="263"/>
    <s v="2025-04-17"/>
    <x v="4"/>
    <s v="Sneha Mishra"/>
    <x v="3"/>
    <x v="2"/>
    <x v="2"/>
    <n v="4"/>
    <n v="2199"/>
    <x v="14"/>
    <s v="UPI"/>
    <x v="0"/>
  </r>
  <r>
    <x v="264"/>
    <s v="2025-09-03"/>
    <x v="1"/>
    <s v="Neha Gupta"/>
    <x v="4"/>
    <x v="2"/>
    <x v="2"/>
    <n v="1"/>
    <n v="2199"/>
    <x v="19"/>
    <s v="Cash"/>
    <x v="0"/>
  </r>
  <r>
    <x v="265"/>
    <s v="2025-05-25"/>
    <x v="0"/>
    <s v="Rohan Patel"/>
    <x v="6"/>
    <x v="10"/>
    <x v="5"/>
    <n v="3"/>
    <n v="249"/>
    <x v="39"/>
    <s v="Net Banking"/>
    <x v="0"/>
  </r>
  <r>
    <x v="266"/>
    <s v="2025-07-04"/>
    <x v="10"/>
    <s v="Ananya Das"/>
    <x v="6"/>
    <x v="7"/>
    <x v="2"/>
    <n v="3"/>
    <n v="1799"/>
    <x v="36"/>
    <s v="UPI"/>
    <x v="2"/>
  </r>
  <r>
    <x v="267"/>
    <s v="2025-07-09"/>
    <x v="10"/>
    <s v="Sneha Mishra"/>
    <x v="7"/>
    <x v="3"/>
    <x v="3"/>
    <n v="2"/>
    <n v="999"/>
    <x v="15"/>
    <s v="UPI"/>
    <x v="1"/>
  </r>
  <r>
    <x v="268"/>
    <s v="2025-01-09"/>
    <x v="3"/>
    <s v="Amit Yadav"/>
    <x v="7"/>
    <x v="2"/>
    <x v="2"/>
    <n v="2"/>
    <n v="2199"/>
    <x v="20"/>
    <s v="Debit Card"/>
    <x v="0"/>
  </r>
  <r>
    <x v="269"/>
    <s v="2025-04-28"/>
    <x v="4"/>
    <s v="Rohan Patel"/>
    <x v="4"/>
    <x v="2"/>
    <x v="2"/>
    <n v="3"/>
    <n v="2199"/>
    <x v="2"/>
    <s v="Cash"/>
    <x v="1"/>
  </r>
  <r>
    <x v="270"/>
    <s v="2025-09-08"/>
    <x v="1"/>
    <s v="Ananya Das"/>
    <x v="6"/>
    <x v="3"/>
    <x v="3"/>
    <n v="3"/>
    <n v="999"/>
    <x v="18"/>
    <s v="Credit Card"/>
    <x v="0"/>
  </r>
  <r>
    <x v="271"/>
    <s v="2025-10-07"/>
    <x v="5"/>
    <s v="Ananya Das"/>
    <x v="5"/>
    <x v="6"/>
    <x v="3"/>
    <n v="2"/>
    <n v="1499"/>
    <x v="49"/>
    <s v="Net Banking"/>
    <x v="0"/>
  </r>
  <r>
    <x v="272"/>
    <s v="2025-02-08"/>
    <x v="8"/>
    <s v="Aarav Sharma"/>
    <x v="9"/>
    <x v="10"/>
    <x v="5"/>
    <n v="1"/>
    <n v="249"/>
    <x v="37"/>
    <s v="Cash"/>
    <x v="0"/>
  </r>
  <r>
    <x v="273"/>
    <s v="2025-12-29"/>
    <x v="9"/>
    <s v="Rahul Singh"/>
    <x v="9"/>
    <x v="2"/>
    <x v="2"/>
    <n v="1"/>
    <n v="2199"/>
    <x v="19"/>
    <s v="Credit Card"/>
    <x v="1"/>
  </r>
  <r>
    <x v="274"/>
    <s v="2025-01-31"/>
    <x v="3"/>
    <s v="Ananya Das"/>
    <x v="6"/>
    <x v="5"/>
    <x v="4"/>
    <n v="3"/>
    <n v="1299"/>
    <x v="30"/>
    <s v="UPI"/>
    <x v="0"/>
  </r>
  <r>
    <x v="275"/>
    <s v="2025-07-30"/>
    <x v="10"/>
    <s v="Aarav Sharma"/>
    <x v="9"/>
    <x v="10"/>
    <x v="5"/>
    <n v="5"/>
    <n v="249"/>
    <x v="46"/>
    <s v="Net Banking"/>
    <x v="0"/>
  </r>
  <r>
    <x v="276"/>
    <s v="2025-01-09"/>
    <x v="3"/>
    <s v="Rohan Patel"/>
    <x v="5"/>
    <x v="10"/>
    <x v="5"/>
    <n v="3"/>
    <n v="249"/>
    <x v="39"/>
    <s v="UPI"/>
    <x v="0"/>
  </r>
  <r>
    <x v="277"/>
    <s v="2025-05-04"/>
    <x v="0"/>
    <s v="Neha Gupta"/>
    <x v="3"/>
    <x v="10"/>
    <x v="5"/>
    <n v="2"/>
    <n v="249"/>
    <x v="32"/>
    <s v="Debit Card"/>
    <x v="0"/>
  </r>
  <r>
    <x v="278"/>
    <s v="2025-07-11"/>
    <x v="10"/>
    <s v="  Neha Gupta "/>
    <x v="6"/>
    <x v="9"/>
    <x v="2"/>
    <n v="1"/>
    <n v="12499"/>
    <x v="40"/>
    <s v="Net Banking"/>
    <x v="0"/>
  </r>
  <r>
    <x v="279"/>
    <s v="2025-12-17"/>
    <x v="9"/>
    <s v="Priya Verma"/>
    <x v="9"/>
    <x v="2"/>
    <x v="2"/>
    <n v="3"/>
    <n v="2199"/>
    <x v="2"/>
    <s v="UPI"/>
    <x v="2"/>
  </r>
  <r>
    <x v="280"/>
    <s v="2025-10-10"/>
    <x v="5"/>
    <s v="Ananya Das"/>
    <x v="9"/>
    <x v="9"/>
    <x v="2"/>
    <n v="4"/>
    <n v="12499"/>
    <x v="24"/>
    <s v="UPI"/>
    <x v="0"/>
  </r>
  <r>
    <x v="281"/>
    <s v="2025-08-11"/>
    <x v="2"/>
    <s v="Sneha Mishra"/>
    <x v="8"/>
    <x v="8"/>
    <x v="3"/>
    <n v="4"/>
    <n v="899"/>
    <x v="44"/>
    <s v="Net Banking"/>
    <x v="0"/>
  </r>
  <r>
    <x v="282"/>
    <s v="2025-12-21"/>
    <x v="9"/>
    <s v="Ananya Das"/>
    <x v="3"/>
    <x v="2"/>
    <x v="2"/>
    <n v="2"/>
    <n v="2199"/>
    <x v="20"/>
    <s v="UPI"/>
    <x v="0"/>
  </r>
  <r>
    <x v="283"/>
    <s v="2025-10-16"/>
    <x v="5"/>
    <s v="Aarav Sharma"/>
    <x v="5"/>
    <x v="7"/>
    <x v="2"/>
    <n v="5"/>
    <n v="1799"/>
    <x v="16"/>
    <s v="Debit Card"/>
    <x v="0"/>
  </r>
  <r>
    <x v="284"/>
    <s v="2025-03-15"/>
    <x v="11"/>
    <s v="Rohan Patel"/>
    <x v="8"/>
    <x v="2"/>
    <x v="2"/>
    <n v="5"/>
    <n v="2199"/>
    <x v="41"/>
    <s v="Debit Card"/>
    <x v="0"/>
  </r>
  <r>
    <x v="285"/>
    <s v="2025-10-18"/>
    <x v="5"/>
    <s v="Rohan Patel"/>
    <x v="2"/>
    <x v="1"/>
    <x v="1"/>
    <n v="2"/>
    <n v="7499"/>
    <x v="9"/>
    <s v="Cash"/>
    <x v="0"/>
  </r>
  <r>
    <x v="286"/>
    <s v="2025-06-27"/>
    <x v="7"/>
    <s v="Aarav Sharma"/>
    <x v="8"/>
    <x v="8"/>
    <x v="3"/>
    <n v="5"/>
    <n v="899"/>
    <x v="47"/>
    <s v="Cash"/>
    <x v="0"/>
  </r>
  <r>
    <x v="287"/>
    <s v="2025-11-06"/>
    <x v="6"/>
    <s v="Rohan Patel"/>
    <x v="2"/>
    <x v="8"/>
    <x v="3"/>
    <n v="3"/>
    <n v="899"/>
    <x v="43"/>
    <s v="UPI"/>
    <x v="0"/>
  </r>
  <r>
    <x v="288"/>
    <s v="2025-04-27"/>
    <x v="4"/>
    <s v="Sneha Mishra"/>
    <x v="7"/>
    <x v="5"/>
    <x v="4"/>
    <n v="4"/>
    <n v="1299"/>
    <x v="42"/>
    <s v="Cash"/>
    <x v="0"/>
  </r>
  <r>
    <x v="289"/>
    <s v="2025-02-13"/>
    <x v="8"/>
    <s v="Amit Yadav"/>
    <x v="4"/>
    <x v="1"/>
    <x v="1"/>
    <n v="4"/>
    <n v="7499"/>
    <x v="1"/>
    <s v="UPI"/>
    <x v="0"/>
  </r>
  <r>
    <x v="290"/>
    <s v="2025-07-14"/>
    <x v="10"/>
    <s v="Rahul Singh"/>
    <x v="7"/>
    <x v="7"/>
    <x v="2"/>
    <n v="2"/>
    <n v="1799"/>
    <x v="21"/>
    <s v="Debit Card"/>
    <x v="0"/>
  </r>
  <r>
    <x v="291"/>
    <s v="2025-01-03"/>
    <x v="3"/>
    <s v="Amit Yadav"/>
    <x v="6"/>
    <x v="8"/>
    <x v="3"/>
    <n v="1"/>
    <n v="899"/>
    <x v="23"/>
    <s v="Debit Card"/>
    <x v="0"/>
  </r>
  <r>
    <x v="292"/>
    <s v="2025-02-14"/>
    <x v="8"/>
    <s v="Rahul Singh"/>
    <x v="7"/>
    <x v="8"/>
    <x v="3"/>
    <n v="2"/>
    <n v="899"/>
    <x v="17"/>
    <s v="Cash"/>
    <x v="1"/>
  </r>
  <r>
    <x v="293"/>
    <s v="2025-07-28"/>
    <x v="10"/>
    <s v="Priya Verma"/>
    <x v="9"/>
    <x v="10"/>
    <x v="5"/>
    <n v="5"/>
    <n v="249"/>
    <x v="46"/>
    <s v="UPI"/>
    <x v="0"/>
  </r>
  <r>
    <x v="294"/>
    <s v="2025-11-02"/>
    <x v="6"/>
    <s v="Sneha Mishra"/>
    <x v="7"/>
    <x v="10"/>
    <x v="5"/>
    <n v="1"/>
    <n v="249"/>
    <x v="37"/>
    <s v="UPI"/>
    <x v="0"/>
  </r>
  <r>
    <x v="295"/>
    <s v="2025-02-13"/>
    <x v="8"/>
    <s v="Neha Gupta"/>
    <x v="5"/>
    <x v="9"/>
    <x v="2"/>
    <n v="4"/>
    <n v="12499"/>
    <x v="24"/>
    <s v="Cash"/>
    <x v="0"/>
  </r>
  <r>
    <x v="296"/>
    <s v="2025-06-04"/>
    <x v="7"/>
    <s v="Amit Yadav"/>
    <x v="6"/>
    <x v="6"/>
    <x v="3"/>
    <n v="3"/>
    <n v="1499"/>
    <x v="22"/>
    <s v="Credit Card"/>
    <x v="0"/>
  </r>
  <r>
    <x v="297"/>
    <s v="2025-05-22"/>
    <x v="0"/>
    <s v="Rohan Patel"/>
    <x v="3"/>
    <x v="6"/>
    <x v="3"/>
    <n v="4"/>
    <n v="1499"/>
    <x v="12"/>
    <s v="Cash"/>
    <x v="0"/>
  </r>
  <r>
    <x v="298"/>
    <s v="2025-05-07"/>
    <x v="0"/>
    <s v="Ananya Das"/>
    <x v="4"/>
    <x v="3"/>
    <x v="3"/>
    <n v="3"/>
    <n v="999"/>
    <x v="18"/>
    <s v="Cash"/>
    <x v="0"/>
  </r>
  <r>
    <x v="299"/>
    <s v="2025-01-04"/>
    <x v="3"/>
    <s v="Rohan Patel"/>
    <x v="2"/>
    <x v="6"/>
    <x v="3"/>
    <n v="3"/>
    <n v="1499"/>
    <x v="22"/>
    <s v="Net Banking"/>
    <x v="2"/>
  </r>
  <r>
    <x v="300"/>
    <s v="2025-06-21"/>
    <x v="7"/>
    <s v="Rohan Patel"/>
    <x v="5"/>
    <x v="3"/>
    <x v="3"/>
    <n v="4"/>
    <n v="999"/>
    <x v="3"/>
    <s v="Debit Card"/>
    <x v="0"/>
  </r>
  <r>
    <x v="301"/>
    <s v="2025-09-03"/>
    <x v="1"/>
    <s v="Sneha Mishra"/>
    <x v="5"/>
    <x v="1"/>
    <x v="1"/>
    <n v="2"/>
    <n v="7499"/>
    <x v="9"/>
    <s v="Cash"/>
    <x v="0"/>
  </r>
  <r>
    <x v="302"/>
    <s v="2025-10-22"/>
    <x v="5"/>
    <s v="Neha Gupta"/>
    <x v="2"/>
    <x v="7"/>
    <x v="2"/>
    <n v="4"/>
    <n v="1799"/>
    <x v="27"/>
    <s v="Cash"/>
    <x v="0"/>
  </r>
  <r>
    <x v="303"/>
    <s v="2025-02-28"/>
    <x v="8"/>
    <s v="Neha Gupta"/>
    <x v="5"/>
    <x v="9"/>
    <x v="2"/>
    <n v="3"/>
    <n v="12499"/>
    <x v="33"/>
    <s v="Net Banking"/>
    <x v="0"/>
  </r>
  <r>
    <x v="304"/>
    <m/>
    <x v="3"/>
    <s v="Amit Yadav"/>
    <x v="8"/>
    <x v="5"/>
    <x v="4"/>
    <n v="2"/>
    <n v="1299"/>
    <x v="34"/>
    <s v="Cash"/>
    <x v="2"/>
  </r>
  <r>
    <x v="305"/>
    <s v="2025-05-04"/>
    <x v="0"/>
    <s v="Amit Yadav"/>
    <x v="5"/>
    <x v="6"/>
    <x v="3"/>
    <n v="3"/>
    <n v="1499"/>
    <x v="22"/>
    <s v="Cash"/>
    <x v="2"/>
  </r>
  <r>
    <x v="306"/>
    <s v="2025-11-03"/>
    <x v="6"/>
    <s v="Ananya Das"/>
    <x v="7"/>
    <x v="8"/>
    <x v="3"/>
    <n v="4"/>
    <n v="899"/>
    <x v="44"/>
    <s v="Net Banking"/>
    <x v="1"/>
  </r>
  <r>
    <x v="307"/>
    <s v="2025-01-19"/>
    <x v="3"/>
    <s v="Sneha Mishra"/>
    <x v="8"/>
    <x v="9"/>
    <x v="2"/>
    <n v="5"/>
    <n v="12499"/>
    <x v="31"/>
    <s v="UPI"/>
    <x v="0"/>
  </r>
  <r>
    <x v="308"/>
    <s v="2025-11-28"/>
    <x v="6"/>
    <s v="Aarav Sharma"/>
    <x v="7"/>
    <x v="3"/>
    <x v="3"/>
    <n v="2"/>
    <n v="999"/>
    <x v="15"/>
    <s v="Debit Card"/>
    <x v="2"/>
  </r>
  <r>
    <x v="309"/>
    <s v="2025-02-20"/>
    <x v="8"/>
    <s v="Amit Yadav"/>
    <x v="4"/>
    <x v="8"/>
    <x v="3"/>
    <n v="1"/>
    <n v="899"/>
    <x v="23"/>
    <s v="Net Banking"/>
    <x v="1"/>
  </r>
  <r>
    <x v="310"/>
    <s v="2025-12-19"/>
    <x v="9"/>
    <s v="Neha Gupta"/>
    <x v="6"/>
    <x v="10"/>
    <x v="5"/>
    <n v="5"/>
    <n v="249"/>
    <x v="46"/>
    <s v="Debit Card"/>
    <x v="2"/>
  </r>
  <r>
    <x v="311"/>
    <s v="2025-12-20"/>
    <x v="9"/>
    <s v="Rahul Singh"/>
    <x v="2"/>
    <x v="5"/>
    <x v="4"/>
    <n v="5"/>
    <n v="1299"/>
    <x v="45"/>
    <s v="UPI"/>
    <x v="2"/>
  </r>
  <r>
    <x v="312"/>
    <s v="2025-08-01"/>
    <x v="2"/>
    <s v="Priya Verma"/>
    <x v="8"/>
    <x v="8"/>
    <x v="3"/>
    <n v="3"/>
    <n v="899"/>
    <x v="43"/>
    <s v="Credit Card"/>
    <x v="0"/>
  </r>
  <r>
    <x v="313"/>
    <s v="2025-08-22"/>
    <x v="2"/>
    <s v="Neha Gupta"/>
    <x v="6"/>
    <x v="7"/>
    <x v="2"/>
    <n v="3"/>
    <n v="1799"/>
    <x v="36"/>
    <s v="Debit Card"/>
    <x v="2"/>
  </r>
  <r>
    <x v="314"/>
    <s v="2025-12-23"/>
    <x v="9"/>
    <s v="Ananya Das"/>
    <x v="2"/>
    <x v="8"/>
    <x v="3"/>
    <n v="4"/>
    <n v="899"/>
    <x v="44"/>
    <s v="UPI"/>
    <x v="0"/>
  </r>
  <r>
    <x v="315"/>
    <s v="2025-01-12"/>
    <x v="3"/>
    <s v="Sneha Mishra"/>
    <x v="8"/>
    <x v="4"/>
    <x v="3"/>
    <n v="1"/>
    <n v="599"/>
    <x v="48"/>
    <s v="Credit Card"/>
    <x v="0"/>
  </r>
  <r>
    <x v="316"/>
    <s v="2025-10-10"/>
    <x v="5"/>
    <s v="Rahul Singh"/>
    <x v="2"/>
    <x v="10"/>
    <x v="5"/>
    <n v="2"/>
    <n v="249"/>
    <x v="32"/>
    <s v="Net Banking"/>
    <x v="2"/>
  </r>
  <r>
    <x v="317"/>
    <s v="2025-04-12"/>
    <x v="4"/>
    <s v="Ananya Das"/>
    <x v="7"/>
    <x v="4"/>
    <x v="3"/>
    <n v="5"/>
    <n v="599"/>
    <x v="4"/>
    <s v="Cash"/>
    <x v="0"/>
  </r>
  <r>
    <x v="318"/>
    <s v="2025-05-23"/>
    <x v="0"/>
    <s v="Priya Verma"/>
    <x v="8"/>
    <x v="2"/>
    <x v="2"/>
    <n v="2"/>
    <n v="2199"/>
    <x v="20"/>
    <s v="Net Banking"/>
    <x v="0"/>
  </r>
  <r>
    <x v="319"/>
    <s v="2025-04-11"/>
    <x v="4"/>
    <s v="Ananya Das"/>
    <x v="8"/>
    <x v="3"/>
    <x v="3"/>
    <n v="3"/>
    <n v="999"/>
    <x v="18"/>
    <s v="Debit Card"/>
    <x v="2"/>
  </r>
  <r>
    <x v="320"/>
    <s v="2025-11-02"/>
    <x v="6"/>
    <s v="Rohan Patel"/>
    <x v="7"/>
    <x v="10"/>
    <x v="5"/>
    <n v="3"/>
    <n v="249"/>
    <x v="39"/>
    <s v="Net Banking"/>
    <x v="0"/>
  </r>
  <r>
    <x v="321"/>
    <s v="2025-08-23"/>
    <x v="2"/>
    <s v="Rahul Singh"/>
    <x v="3"/>
    <x v="3"/>
    <x v="3"/>
    <n v="3"/>
    <n v="999"/>
    <x v="18"/>
    <s v="Net Banking"/>
    <x v="1"/>
  </r>
  <r>
    <x v="322"/>
    <s v="2025-06-10"/>
    <x v="7"/>
    <s v="Priya Verma"/>
    <x v="4"/>
    <x v="8"/>
    <x v="3"/>
    <n v="2"/>
    <n v="899"/>
    <x v="17"/>
    <s v="Debit Card"/>
    <x v="0"/>
  </r>
  <r>
    <x v="323"/>
    <s v="2025-12-22"/>
    <x v="9"/>
    <s v="Rahul Singh"/>
    <x v="7"/>
    <x v="6"/>
    <x v="3"/>
    <n v="3"/>
    <n v="1499"/>
    <x v="22"/>
    <s v="Cash"/>
    <x v="1"/>
  </r>
  <r>
    <x v="324"/>
    <s v="2025-07-16"/>
    <x v="10"/>
    <s v="Rohan Patel"/>
    <x v="5"/>
    <x v="6"/>
    <x v="3"/>
    <n v="5"/>
    <n v="1499"/>
    <x v="7"/>
    <s v="Cash"/>
    <x v="1"/>
  </r>
  <r>
    <x v="325"/>
    <s v="2025-03-27"/>
    <x v="11"/>
    <s v="Ananya Das"/>
    <x v="3"/>
    <x v="6"/>
    <x v="3"/>
    <n v="5"/>
    <n v="1499"/>
    <x v="7"/>
    <s v="Credit Card"/>
    <x v="0"/>
  </r>
  <r>
    <x v="326"/>
    <s v="2025-11-14"/>
    <x v="6"/>
    <s v="Aarav Sharma"/>
    <x v="2"/>
    <x v="3"/>
    <x v="3"/>
    <n v="4"/>
    <n v="999"/>
    <x v="3"/>
    <s v="UPI"/>
    <x v="2"/>
  </r>
  <r>
    <x v="327"/>
    <s v="2025-07-16"/>
    <x v="10"/>
    <s v="Ananya Das"/>
    <x v="7"/>
    <x v="6"/>
    <x v="3"/>
    <n v="2"/>
    <n v="1499"/>
    <x v="49"/>
    <s v="Cash"/>
    <x v="2"/>
  </r>
  <r>
    <x v="328"/>
    <s v="2025-03-27"/>
    <x v="11"/>
    <s v="Priya Verma"/>
    <x v="9"/>
    <x v="5"/>
    <x v="4"/>
    <n v="4"/>
    <n v="1299"/>
    <x v="42"/>
    <s v="Credit Card"/>
    <x v="0"/>
  </r>
  <r>
    <x v="329"/>
    <s v="2025-04-26"/>
    <x v="4"/>
    <s v="Amit Yadav"/>
    <x v="5"/>
    <x v="4"/>
    <x v="3"/>
    <n v="3"/>
    <n v="599"/>
    <x v="35"/>
    <s v="Cash"/>
    <x v="1"/>
  </r>
  <r>
    <x v="330"/>
    <s v="2025-09-19"/>
    <x v="1"/>
    <s v="Priya Verma"/>
    <x v="8"/>
    <x v="5"/>
    <x v="4"/>
    <n v="5"/>
    <n v="1299"/>
    <x v="45"/>
    <s v="Debit Card"/>
    <x v="1"/>
  </r>
  <r>
    <x v="331"/>
    <s v="2025-01-22"/>
    <x v="3"/>
    <s v="Ananya Das"/>
    <x v="4"/>
    <x v="3"/>
    <x v="3"/>
    <n v="5"/>
    <n v="999"/>
    <x v="10"/>
    <s v="Cash"/>
    <x v="0"/>
  </r>
  <r>
    <x v="332"/>
    <s v="2025-01-17"/>
    <x v="3"/>
    <s v="Ananya Das"/>
    <x v="3"/>
    <x v="2"/>
    <x v="2"/>
    <n v="3"/>
    <n v="2199"/>
    <x v="2"/>
    <s v="Debit Card"/>
    <x v="0"/>
  </r>
  <r>
    <x v="333"/>
    <s v="2025-05-02"/>
    <x v="0"/>
    <s v="Neha Gupta"/>
    <x v="2"/>
    <x v="5"/>
    <x v="4"/>
    <n v="1"/>
    <n v="1299"/>
    <x v="6"/>
    <s v="Net Banking"/>
    <x v="2"/>
  </r>
  <r>
    <x v="334"/>
    <s v="2025-03-13"/>
    <x v="11"/>
    <s v="Neha Gupta"/>
    <x v="4"/>
    <x v="6"/>
    <x v="3"/>
    <n v="5"/>
    <n v="1499"/>
    <x v="7"/>
    <s v="UPI"/>
    <x v="1"/>
  </r>
  <r>
    <x v="335"/>
    <s v="2025-05-24"/>
    <x v="0"/>
    <s v="Rahul Singh"/>
    <x v="2"/>
    <x v="3"/>
    <x v="3"/>
    <n v="5"/>
    <n v="999"/>
    <x v="10"/>
    <s v="Debit Card"/>
    <x v="0"/>
  </r>
  <r>
    <x v="336"/>
    <s v="2025-09-21"/>
    <x v="1"/>
    <s v="Priya Verma"/>
    <x v="5"/>
    <x v="1"/>
    <x v="1"/>
    <n v="3"/>
    <n v="7499"/>
    <x v="13"/>
    <s v="Cash"/>
    <x v="0"/>
  </r>
  <r>
    <x v="337"/>
    <s v="2025-12-26"/>
    <x v="9"/>
    <s v="Rahul Singh"/>
    <x v="4"/>
    <x v="7"/>
    <x v="2"/>
    <n v="2"/>
    <n v="1799"/>
    <x v="21"/>
    <s v="Credit Card"/>
    <x v="0"/>
  </r>
  <r>
    <x v="338"/>
    <s v="2025-09-08"/>
    <x v="1"/>
    <s v="Rahul Singh"/>
    <x v="3"/>
    <x v="2"/>
    <x v="2"/>
    <n v="4"/>
    <n v="2199"/>
    <x v="14"/>
    <s v="Cash"/>
    <x v="2"/>
  </r>
  <r>
    <x v="339"/>
    <s v="2025-11-21"/>
    <x v="6"/>
    <s v="Priya Verma"/>
    <x v="7"/>
    <x v="5"/>
    <x v="4"/>
    <n v="1"/>
    <n v="1299"/>
    <x v="6"/>
    <s v="Net Banking"/>
    <x v="0"/>
  </r>
  <r>
    <x v="340"/>
    <s v="2025-09-07"/>
    <x v="1"/>
    <s v="Sneha Mishra"/>
    <x v="9"/>
    <x v="3"/>
    <x v="3"/>
    <n v="4"/>
    <n v="999"/>
    <x v="3"/>
    <s v="UPI"/>
    <x v="2"/>
  </r>
  <r>
    <x v="341"/>
    <s v="2025-10-01"/>
    <x v="5"/>
    <s v="Rohan Patel"/>
    <x v="4"/>
    <x v="3"/>
    <x v="3"/>
    <n v="1"/>
    <n v="999"/>
    <x v="38"/>
    <s v="Cash"/>
    <x v="0"/>
  </r>
  <r>
    <x v="342"/>
    <s v="2025-06-15"/>
    <x v="7"/>
    <s v="Amit Yadav"/>
    <x v="2"/>
    <x v="5"/>
    <x v="4"/>
    <n v="3"/>
    <n v="1299"/>
    <x v="30"/>
    <s v="Net Banking"/>
    <x v="1"/>
  </r>
  <r>
    <x v="343"/>
    <s v="2025-09-06"/>
    <x v="1"/>
    <s v="Sneha Mishra"/>
    <x v="9"/>
    <x v="6"/>
    <x v="3"/>
    <n v="5"/>
    <n v="1499"/>
    <x v="7"/>
    <s v="UPI"/>
    <x v="0"/>
  </r>
  <r>
    <x v="344"/>
    <s v="2025-03-05"/>
    <x v="11"/>
    <s v="Rahul Singh"/>
    <x v="6"/>
    <x v="5"/>
    <x v="6"/>
    <n v="1"/>
    <n v="1299"/>
    <x v="6"/>
    <s v="Cash"/>
    <x v="0"/>
  </r>
  <r>
    <x v="345"/>
    <s v="2025-12-19"/>
    <x v="9"/>
    <s v="Rahul Singh"/>
    <x v="3"/>
    <x v="9"/>
    <x v="2"/>
    <n v="2"/>
    <n v="12499"/>
    <x v="51"/>
    <s v="Credit Card"/>
    <x v="0"/>
  </r>
  <r>
    <x v="346"/>
    <s v="2025-05-09"/>
    <x v="0"/>
    <s v="Priya Verma"/>
    <x v="2"/>
    <x v="8"/>
    <x v="3"/>
    <n v="3"/>
    <n v="899"/>
    <x v="43"/>
    <s v="Credit Card"/>
    <x v="0"/>
  </r>
  <r>
    <x v="347"/>
    <s v="2025-12-25"/>
    <x v="9"/>
    <s v="Neha Gupta"/>
    <x v="7"/>
    <x v="9"/>
    <x v="2"/>
    <n v="3"/>
    <n v="12499"/>
    <x v="33"/>
    <s v="UPI"/>
    <x v="0"/>
  </r>
  <r>
    <x v="348"/>
    <s v="2025-09-02"/>
    <x v="1"/>
    <s v="Priya Verma"/>
    <x v="5"/>
    <x v="4"/>
    <x v="3"/>
    <n v="2"/>
    <n v="599"/>
    <x v="5"/>
    <s v="Net Banking"/>
    <x v="0"/>
  </r>
  <r>
    <x v="349"/>
    <s v="2025-01-05"/>
    <x v="3"/>
    <s v="Aarav Sharma"/>
    <x v="2"/>
    <x v="10"/>
    <x v="5"/>
    <n v="4"/>
    <n v="249"/>
    <x v="29"/>
    <s v="UPI"/>
    <x v="2"/>
  </r>
  <r>
    <x v="350"/>
    <s v="2025-02-06"/>
    <x v="8"/>
    <s v="Neha Gupta"/>
    <x v="7"/>
    <x v="6"/>
    <x v="3"/>
    <n v="4"/>
    <n v="1499"/>
    <x v="12"/>
    <s v="UPI"/>
    <x v="0"/>
  </r>
  <r>
    <x v="351"/>
    <s v="2025-07-08"/>
    <x v="10"/>
    <s v="Amit Yadav"/>
    <x v="5"/>
    <x v="8"/>
    <x v="3"/>
    <n v="3"/>
    <n v="899"/>
    <x v="43"/>
    <s v="Cash"/>
    <x v="0"/>
  </r>
  <r>
    <x v="352"/>
    <s v="2025-09-29"/>
    <x v="1"/>
    <s v="Aarav Sharma"/>
    <x v="5"/>
    <x v="6"/>
    <x v="3"/>
    <n v="1"/>
    <n v="1499"/>
    <x v="26"/>
    <s v="Cash"/>
    <x v="0"/>
  </r>
  <r>
    <x v="353"/>
    <s v="2025-07-30"/>
    <x v="10"/>
    <s v="Ananya Das"/>
    <x v="4"/>
    <x v="2"/>
    <x v="2"/>
    <n v="2"/>
    <n v="2199"/>
    <x v="20"/>
    <s v="UPI"/>
    <x v="0"/>
  </r>
  <r>
    <x v="354"/>
    <s v="2025-10-29"/>
    <x v="5"/>
    <s v="Rohan Patel"/>
    <x v="2"/>
    <x v="6"/>
    <x v="3"/>
    <n v="1"/>
    <n v="1499"/>
    <x v="26"/>
    <s v="Cash"/>
    <x v="0"/>
  </r>
  <r>
    <x v="355"/>
    <s v="2025-05-22"/>
    <x v="0"/>
    <s v="Priya Verma"/>
    <x v="4"/>
    <x v="6"/>
    <x v="3"/>
    <n v="2"/>
    <n v="1499"/>
    <x v="49"/>
    <s v="Net Banking"/>
    <x v="1"/>
  </r>
  <r>
    <x v="356"/>
    <s v="2025-05-26"/>
    <x v="0"/>
    <s v="Aarav Sharma"/>
    <x v="3"/>
    <x v="1"/>
    <x v="1"/>
    <n v="5"/>
    <n v="7499"/>
    <x v="28"/>
    <s v="Credit Card"/>
    <x v="1"/>
  </r>
  <r>
    <x v="357"/>
    <s v="2025-04-07"/>
    <x v="4"/>
    <s v="Rohan Patel"/>
    <x v="3"/>
    <x v="1"/>
    <x v="1"/>
    <n v="5"/>
    <n v="7499"/>
    <x v="28"/>
    <s v="UPI"/>
    <x v="0"/>
  </r>
  <r>
    <x v="358"/>
    <s v="2025-02-27"/>
    <x v="8"/>
    <s v="Neha Gupta"/>
    <x v="6"/>
    <x v="5"/>
    <x v="4"/>
    <n v="4"/>
    <n v="1299"/>
    <x v="42"/>
    <s v="Net Banking"/>
    <x v="0"/>
  </r>
  <r>
    <x v="359"/>
    <s v="2025-07-04"/>
    <x v="10"/>
    <s v="Sneha Mishra"/>
    <x v="8"/>
    <x v="10"/>
    <x v="5"/>
    <n v="1"/>
    <n v="249"/>
    <x v="37"/>
    <s v="Cash"/>
    <x v="1"/>
  </r>
  <r>
    <x v="360"/>
    <s v="2025-10-07"/>
    <x v="5"/>
    <s v="Rahul Singh"/>
    <x v="6"/>
    <x v="9"/>
    <x v="2"/>
    <n v="3"/>
    <n v="12499"/>
    <x v="33"/>
    <s v="UPI"/>
    <x v="0"/>
  </r>
  <r>
    <x v="361"/>
    <s v="2025-01-08"/>
    <x v="3"/>
    <s v="Amit Yadav"/>
    <x v="4"/>
    <x v="1"/>
    <x v="1"/>
    <n v="1"/>
    <n v="7499"/>
    <x v="8"/>
    <s v="UPI"/>
    <x v="0"/>
  </r>
  <r>
    <x v="362"/>
    <s v="2025-05-27"/>
    <x v="0"/>
    <s v="Rohan Patel"/>
    <x v="7"/>
    <x v="9"/>
    <x v="2"/>
    <n v="5"/>
    <n v="12499"/>
    <x v="31"/>
    <s v="Cash"/>
    <x v="0"/>
  </r>
  <r>
    <x v="363"/>
    <s v="2025-11-12"/>
    <x v="6"/>
    <s v="Rahul Singh"/>
    <x v="3"/>
    <x v="10"/>
    <x v="5"/>
    <n v="5"/>
    <n v="249"/>
    <x v="46"/>
    <s v="UPI"/>
    <x v="0"/>
  </r>
  <r>
    <x v="364"/>
    <s v="2025-04-15"/>
    <x v="4"/>
    <s v="Rahul Singh"/>
    <x v="2"/>
    <x v="8"/>
    <x v="3"/>
    <n v="5"/>
    <n v="899"/>
    <x v="47"/>
    <s v="Cash"/>
    <x v="1"/>
  </r>
  <r>
    <x v="365"/>
    <s v="2025-12-24"/>
    <x v="9"/>
    <s v="Rohan Patel"/>
    <x v="4"/>
    <x v="8"/>
    <x v="3"/>
    <n v="3"/>
    <n v="899"/>
    <x v="43"/>
    <s v="UPI"/>
    <x v="0"/>
  </r>
  <r>
    <x v="366"/>
    <s v="2025-03-01"/>
    <x v="11"/>
    <s v="Ananya Das"/>
    <x v="9"/>
    <x v="8"/>
    <x v="3"/>
    <n v="4"/>
    <n v="899"/>
    <x v="44"/>
    <s v="Debit Card"/>
    <x v="0"/>
  </r>
  <r>
    <x v="367"/>
    <s v="2025-12-29"/>
    <x v="9"/>
    <s v="Rahul Singh"/>
    <x v="9"/>
    <x v="8"/>
    <x v="3"/>
    <n v="1"/>
    <n v="899"/>
    <x v="23"/>
    <s v="Credit Card"/>
    <x v="2"/>
  </r>
  <r>
    <x v="368"/>
    <s v="2025-09-22"/>
    <x v="1"/>
    <s v="Amit Yadav"/>
    <x v="5"/>
    <x v="3"/>
    <x v="3"/>
    <n v="5"/>
    <n v="999"/>
    <x v="10"/>
    <s v="Debit Card"/>
    <x v="0"/>
  </r>
  <r>
    <x v="369"/>
    <s v="2025-01-16"/>
    <x v="3"/>
    <s v="Sneha Mishra"/>
    <x v="7"/>
    <x v="7"/>
    <x v="2"/>
    <n v="1"/>
    <n v="1799"/>
    <x v="25"/>
    <s v="Debit Card"/>
    <x v="1"/>
  </r>
  <r>
    <x v="370"/>
    <s v="2025-12-31"/>
    <x v="9"/>
    <s v="Priya Verma"/>
    <x v="6"/>
    <x v="8"/>
    <x v="3"/>
    <n v="3"/>
    <n v="899"/>
    <x v="43"/>
    <s v="Cash"/>
    <x v="1"/>
  </r>
  <r>
    <x v="371"/>
    <s v="2025-09-13"/>
    <x v="1"/>
    <s v="Rahul Singh"/>
    <x v="2"/>
    <x v="3"/>
    <x v="3"/>
    <n v="1"/>
    <n v="999"/>
    <x v="38"/>
    <s v="Credit Card"/>
    <x v="0"/>
  </r>
  <r>
    <x v="372"/>
    <s v="2025-12-12"/>
    <x v="9"/>
    <s v="Priya Verma"/>
    <x v="4"/>
    <x v="8"/>
    <x v="3"/>
    <n v="5"/>
    <n v="899"/>
    <x v="47"/>
    <s v="Net Banking"/>
    <x v="0"/>
  </r>
  <r>
    <x v="373"/>
    <s v="2025-05-06"/>
    <x v="0"/>
    <s v="Aarav Sharma"/>
    <x v="6"/>
    <x v="4"/>
    <x v="3"/>
    <n v="-2"/>
    <n v="599"/>
    <x v="48"/>
    <s v="Debit Card"/>
    <x v="2"/>
  </r>
  <r>
    <x v="374"/>
    <s v="2025-01-19"/>
    <x v="3"/>
    <s v="Rohan Patel"/>
    <x v="4"/>
    <x v="6"/>
    <x v="3"/>
    <n v="2"/>
    <n v="1499"/>
    <x v="49"/>
    <s v="Debit Card"/>
    <x v="0"/>
  </r>
  <r>
    <x v="375"/>
    <s v="2025-05-19"/>
    <x v="0"/>
    <s v="Priya Verma"/>
    <x v="2"/>
    <x v="9"/>
    <x v="2"/>
    <n v="3"/>
    <n v="12499"/>
    <x v="33"/>
    <s v="UPI"/>
    <x v="1"/>
  </r>
  <r>
    <x v="376"/>
    <s v="2025-04-25"/>
    <x v="4"/>
    <s v="Aarav Sharma"/>
    <x v="7"/>
    <x v="4"/>
    <x v="3"/>
    <n v="2"/>
    <n v="599"/>
    <x v="5"/>
    <s v="UPI"/>
    <x v="2"/>
  </r>
  <r>
    <x v="377"/>
    <s v="2025-06-17"/>
    <x v="7"/>
    <s v="Priya Verma"/>
    <x v="6"/>
    <x v="7"/>
    <x v="2"/>
    <n v="3"/>
    <n v="1799"/>
    <x v="36"/>
    <s v="UPI"/>
    <x v="0"/>
  </r>
  <r>
    <x v="378"/>
    <s v="2025-10-16"/>
    <x v="5"/>
    <s v="Amit Yadav"/>
    <x v="4"/>
    <x v="2"/>
    <x v="2"/>
    <n v="3"/>
    <n v="2199"/>
    <x v="2"/>
    <s v="Cash"/>
    <x v="0"/>
  </r>
  <r>
    <x v="379"/>
    <s v="2025-04-11"/>
    <x v="4"/>
    <s v="Neha Gupta"/>
    <x v="5"/>
    <x v="1"/>
    <x v="1"/>
    <n v="4"/>
    <n v="7499"/>
    <x v="1"/>
    <s v="UPI"/>
    <x v="2"/>
  </r>
  <r>
    <x v="380"/>
    <s v="2025-10-05"/>
    <x v="5"/>
    <s v="Sneha Mishra"/>
    <x v="9"/>
    <x v="4"/>
    <x v="3"/>
    <n v="2"/>
    <n v="599"/>
    <x v="5"/>
    <s v="Debit Card"/>
    <x v="0"/>
  </r>
  <r>
    <x v="381"/>
    <s v="2025-02-23"/>
    <x v="8"/>
    <s v="Neha Gupta"/>
    <x v="4"/>
    <x v="9"/>
    <x v="2"/>
    <n v="3"/>
    <n v="12499"/>
    <x v="33"/>
    <s v="Cash"/>
    <x v="2"/>
  </r>
  <r>
    <x v="382"/>
    <s v="2025-12-25"/>
    <x v="9"/>
    <s v="Sneha Mishra"/>
    <x v="6"/>
    <x v="10"/>
    <x v="5"/>
    <n v="4"/>
    <n v="249"/>
    <x v="29"/>
    <s v="UPI"/>
    <x v="1"/>
  </r>
  <r>
    <x v="383"/>
    <s v="2025-03-10"/>
    <x v="11"/>
    <s v="Rohan Patel"/>
    <x v="8"/>
    <x v="8"/>
    <x v="3"/>
    <n v="5"/>
    <n v="899"/>
    <x v="47"/>
    <s v="Net Banking"/>
    <x v="1"/>
  </r>
  <r>
    <x v="384"/>
    <s v="2025-12-06"/>
    <x v="9"/>
    <s v="Rahul Singh"/>
    <x v="4"/>
    <x v="4"/>
    <x v="3"/>
    <n v="4"/>
    <n v="599"/>
    <x v="11"/>
    <s v="Debit Card"/>
    <x v="0"/>
  </r>
  <r>
    <x v="385"/>
    <s v="2025-12-25"/>
    <x v="9"/>
    <s v="Sneha Mishra"/>
    <x v="2"/>
    <x v="3"/>
    <x v="3"/>
    <n v="4"/>
    <n v="999"/>
    <x v="3"/>
    <s v="Cash"/>
    <x v="0"/>
  </r>
  <r>
    <x v="386"/>
    <s v="2025-04-14"/>
    <x v="4"/>
    <s v="Rahul Singh"/>
    <x v="8"/>
    <x v="2"/>
    <x v="2"/>
    <n v="1"/>
    <n v="2199"/>
    <x v="19"/>
    <s v="Credit Card"/>
    <x v="0"/>
  </r>
  <r>
    <x v="387"/>
    <s v="2025-08-27"/>
    <x v="2"/>
    <s v="Sneha Mishra"/>
    <x v="7"/>
    <x v="6"/>
    <x v="3"/>
    <n v="4"/>
    <n v="1499"/>
    <x v="12"/>
    <s v="UPI"/>
    <x v="1"/>
  </r>
  <r>
    <x v="388"/>
    <s v="2025-08-20"/>
    <x v="2"/>
    <s v="Amit Yadav"/>
    <x v="6"/>
    <x v="3"/>
    <x v="3"/>
    <n v="2"/>
    <n v="999"/>
    <x v="15"/>
    <s v="Debit Card"/>
    <x v="0"/>
  </r>
  <r>
    <x v="389"/>
    <s v="2025-12-18"/>
    <x v="9"/>
    <s v="Amit Yadav"/>
    <x v="9"/>
    <x v="8"/>
    <x v="3"/>
    <n v="2"/>
    <n v="899"/>
    <x v="17"/>
    <s v="Credit Card"/>
    <x v="0"/>
  </r>
  <r>
    <x v="390"/>
    <s v="2025-12-31"/>
    <x v="9"/>
    <s v="Neha Gupta"/>
    <x v="2"/>
    <x v="6"/>
    <x v="3"/>
    <n v="1"/>
    <n v="1499"/>
    <x v="26"/>
    <s v="Cash"/>
    <x v="1"/>
  </r>
  <r>
    <x v="391"/>
    <s v="2025-05-14"/>
    <x v="0"/>
    <s v="Rahul Singh"/>
    <x v="9"/>
    <x v="4"/>
    <x v="3"/>
    <n v="3"/>
    <n v="599"/>
    <x v="35"/>
    <s v="Cash"/>
    <x v="2"/>
  </r>
  <r>
    <x v="392"/>
    <s v="2025-05-08"/>
    <x v="0"/>
    <s v="Priya Verma"/>
    <x v="6"/>
    <x v="10"/>
    <x v="5"/>
    <n v="5"/>
    <n v="249"/>
    <x v="46"/>
    <s v="UPI"/>
    <x v="0"/>
  </r>
  <r>
    <x v="393"/>
    <s v="2025-02-01"/>
    <x v="8"/>
    <s v="Neha Gupta"/>
    <x v="5"/>
    <x v="8"/>
    <x v="3"/>
    <n v="1"/>
    <n v="899"/>
    <x v="23"/>
    <s v="Credit Card"/>
    <x v="2"/>
  </r>
  <r>
    <x v="394"/>
    <s v="2025-10-26"/>
    <x v="5"/>
    <s v="Amit Yadav"/>
    <x v="8"/>
    <x v="3"/>
    <x v="3"/>
    <n v="1"/>
    <n v="999"/>
    <x v="38"/>
    <s v="UPI"/>
    <x v="0"/>
  </r>
  <r>
    <x v="395"/>
    <s v="2025-03-07"/>
    <x v="11"/>
    <s v="Priya Verma"/>
    <x v="2"/>
    <x v="2"/>
    <x v="2"/>
    <n v="4"/>
    <n v="2199"/>
    <x v="14"/>
    <s v="UPI"/>
    <x v="0"/>
  </r>
  <r>
    <x v="396"/>
    <s v="2025-03-28"/>
    <x v="11"/>
    <s v="Rohan Patel"/>
    <x v="7"/>
    <x v="5"/>
    <x v="4"/>
    <n v="1"/>
    <n v="1299"/>
    <x v="6"/>
    <s v="Cash"/>
    <x v="0"/>
  </r>
  <r>
    <x v="397"/>
    <s v="2025-03-30"/>
    <x v="11"/>
    <s v="Sneha Mishra"/>
    <x v="4"/>
    <x v="9"/>
    <x v="2"/>
    <n v="4"/>
    <n v="12499"/>
    <x v="50"/>
    <s v="Credit Card"/>
    <x v="0"/>
  </r>
  <r>
    <x v="398"/>
    <s v="2025-03-18"/>
    <x v="11"/>
    <s v="Aarav Sharma"/>
    <x v="4"/>
    <x v="7"/>
    <x v="2"/>
    <n v="4"/>
    <n v="1799"/>
    <x v="27"/>
    <s v="Debit Card"/>
    <x v="2"/>
  </r>
  <r>
    <x v="399"/>
    <s v="2025-09-03"/>
    <x v="1"/>
    <s v="Aarav Sharma"/>
    <x v="8"/>
    <x v="9"/>
    <x v="2"/>
    <n v="5"/>
    <n v="12499"/>
    <x v="31"/>
    <s v="Debit Card"/>
    <x v="2"/>
  </r>
  <r>
    <x v="400"/>
    <s v="2025-04-13"/>
    <x v="4"/>
    <s v="Neha Gupta"/>
    <x v="9"/>
    <x v="6"/>
    <x v="3"/>
    <n v="4"/>
    <n v="1499"/>
    <x v="12"/>
    <s v="Cash"/>
    <x v="0"/>
  </r>
  <r>
    <x v="401"/>
    <s v="2025-09-06"/>
    <x v="1"/>
    <s v="Sneha Mishra"/>
    <x v="2"/>
    <x v="5"/>
    <x v="4"/>
    <n v="5"/>
    <n v="1299"/>
    <x v="45"/>
    <s v="Cash"/>
    <x v="0"/>
  </r>
  <r>
    <x v="402"/>
    <s v="2025-06-13"/>
    <x v="7"/>
    <s v="Neha Gupta"/>
    <x v="9"/>
    <x v="6"/>
    <x v="3"/>
    <n v="1"/>
    <n v="1499"/>
    <x v="26"/>
    <s v="Debit Card"/>
    <x v="0"/>
  </r>
  <r>
    <x v="403"/>
    <s v="2025-07-03"/>
    <x v="10"/>
    <s v="Neha Gupta"/>
    <x v="5"/>
    <x v="5"/>
    <x v="4"/>
    <n v="5"/>
    <n v="1299"/>
    <x v="45"/>
    <s v="UPI"/>
    <x v="0"/>
  </r>
  <r>
    <x v="404"/>
    <s v="2025-10-01"/>
    <x v="5"/>
    <s v="Aarav Sharma"/>
    <x v="4"/>
    <x v="2"/>
    <x v="2"/>
    <n v="3"/>
    <n v="2199"/>
    <x v="2"/>
    <s v="Net Banking"/>
    <x v="2"/>
  </r>
  <r>
    <x v="405"/>
    <s v="2025-04-01"/>
    <x v="4"/>
    <s v="Neha Gupta"/>
    <x v="2"/>
    <x v="3"/>
    <x v="3"/>
    <n v="2"/>
    <n v="999"/>
    <x v="15"/>
    <s v="Debit Card"/>
    <x v="1"/>
  </r>
  <r>
    <x v="406"/>
    <s v="2025-10-18"/>
    <x v="5"/>
    <s v="Rahul Singh"/>
    <x v="4"/>
    <x v="4"/>
    <x v="3"/>
    <n v="3"/>
    <n v="599"/>
    <x v="35"/>
    <s v="Cash"/>
    <x v="1"/>
  </r>
  <r>
    <x v="407"/>
    <s v="2025-09-09"/>
    <x v="1"/>
    <s v="Aarav Sharma"/>
    <x v="8"/>
    <x v="7"/>
    <x v="2"/>
    <n v="2"/>
    <n v="1799"/>
    <x v="21"/>
    <s v="UPI"/>
    <x v="0"/>
  </r>
  <r>
    <x v="408"/>
    <s v="2025-01-11"/>
    <x v="3"/>
    <s v="Ananya Das"/>
    <x v="9"/>
    <x v="1"/>
    <x v="1"/>
    <n v="2"/>
    <n v="7499"/>
    <x v="9"/>
    <s v="Debit Card"/>
    <x v="1"/>
  </r>
  <r>
    <x v="409"/>
    <s v="2025-06-24"/>
    <x v="7"/>
    <s v="Rahul Singh"/>
    <x v="2"/>
    <x v="2"/>
    <x v="2"/>
    <n v="2"/>
    <n v="2199"/>
    <x v="20"/>
    <s v="UPI"/>
    <x v="0"/>
  </r>
  <r>
    <x v="410"/>
    <s v="2025-12-27"/>
    <x v="9"/>
    <s v="Rahul Singh"/>
    <x v="8"/>
    <x v="6"/>
    <x v="3"/>
    <n v="5"/>
    <n v="1499"/>
    <x v="7"/>
    <s v="Net Banking"/>
    <x v="0"/>
  </r>
  <r>
    <x v="411"/>
    <s v="2025-12-27"/>
    <x v="9"/>
    <s v="Rohan Patel"/>
    <x v="8"/>
    <x v="8"/>
    <x v="3"/>
    <n v="3"/>
    <n v="899"/>
    <x v="43"/>
    <s v="Debit Card"/>
    <x v="0"/>
  </r>
  <r>
    <x v="412"/>
    <s v="2025-03-22"/>
    <x v="11"/>
    <s v="Rohan Patel"/>
    <x v="6"/>
    <x v="3"/>
    <x v="3"/>
    <n v="2"/>
    <n v="999"/>
    <x v="15"/>
    <s v="Debit Card"/>
    <x v="0"/>
  </r>
  <r>
    <x v="413"/>
    <s v="2025-07-02"/>
    <x v="10"/>
    <s v="Neha Gupta"/>
    <x v="5"/>
    <x v="10"/>
    <x v="5"/>
    <n v="5"/>
    <n v="249"/>
    <x v="46"/>
    <s v="Cas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0EA97-EBE7-429B-B176-FEFBFC246E7E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2">
    <pivotField showAll="0"/>
    <pivotField showAll="0"/>
    <pivotField axis="axisRow" showAll="0">
      <items count="13">
        <item x="3"/>
        <item x="8"/>
        <item x="11"/>
        <item x="4"/>
        <item x="0"/>
        <item x="7"/>
        <item x="10"/>
        <item x="2"/>
        <item x="1"/>
        <item x="5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3">
        <item x="37"/>
        <item x="32"/>
        <item x="48"/>
        <item x="39"/>
        <item x="23"/>
        <item x="29"/>
        <item x="38"/>
        <item x="5"/>
        <item x="46"/>
        <item x="6"/>
        <item x="26"/>
        <item x="35"/>
        <item x="17"/>
        <item x="25"/>
        <item x="15"/>
        <item x="19"/>
        <item x="11"/>
        <item x="34"/>
        <item x="43"/>
        <item x="4"/>
        <item x="18"/>
        <item x="49"/>
        <item x="44"/>
        <item x="21"/>
        <item x="30"/>
        <item x="3"/>
        <item x="20"/>
        <item x="47"/>
        <item x="22"/>
        <item x="10"/>
        <item x="42"/>
        <item x="36"/>
        <item x="12"/>
        <item x="45"/>
        <item x="2"/>
        <item x="27"/>
        <item x="7"/>
        <item x="8"/>
        <item x="14"/>
        <item x="16"/>
        <item x="41"/>
        <item x="40"/>
        <item x="9"/>
        <item x="13"/>
        <item x="51"/>
        <item x="1"/>
        <item x="28"/>
        <item x="33"/>
        <item x="24"/>
        <item x="31"/>
        <item x="0"/>
        <item x="50"/>
        <item t="default"/>
      </items>
    </pivotField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ales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FD8F6-1F51-4C9D-9D47-BF0C2B47FF28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12">
    <pivotField showAll="0"/>
    <pivotField showAll="0"/>
    <pivotField showAll="0"/>
    <pivotField showAll="0"/>
    <pivotField axis="axisRow" showAll="0">
      <items count="11">
        <item h="1" x="0"/>
        <item x="6"/>
        <item x="8"/>
        <item x="5"/>
        <item x="4"/>
        <item x="9"/>
        <item x="2"/>
        <item x="7"/>
        <item x="3"/>
        <item h="1" x="1"/>
        <item t="default"/>
      </items>
    </pivotField>
    <pivotField showAll="0"/>
    <pivotField showAll="0"/>
    <pivotField showAll="0"/>
    <pivotField showAll="0"/>
    <pivotField dataField="1" showAll="0">
      <items count="53">
        <item x="37"/>
        <item x="32"/>
        <item x="48"/>
        <item x="39"/>
        <item x="23"/>
        <item x="29"/>
        <item x="38"/>
        <item x="5"/>
        <item x="46"/>
        <item x="6"/>
        <item x="26"/>
        <item x="35"/>
        <item x="17"/>
        <item x="25"/>
        <item x="15"/>
        <item x="19"/>
        <item x="11"/>
        <item x="34"/>
        <item x="43"/>
        <item x="4"/>
        <item x="18"/>
        <item x="49"/>
        <item x="44"/>
        <item x="21"/>
        <item x="30"/>
        <item x="3"/>
        <item x="20"/>
        <item x="47"/>
        <item x="22"/>
        <item x="10"/>
        <item x="42"/>
        <item x="36"/>
        <item x="12"/>
        <item x="45"/>
        <item x="2"/>
        <item x="27"/>
        <item x="7"/>
        <item x="8"/>
        <item x="14"/>
        <item x="16"/>
        <item x="41"/>
        <item x="40"/>
        <item x="9"/>
        <item x="13"/>
        <item x="51"/>
        <item x="1"/>
        <item x="28"/>
        <item x="33"/>
        <item x="24"/>
        <item x="31"/>
        <item x="0"/>
        <item x="50"/>
        <item t="default"/>
      </items>
    </pivotField>
    <pivotField showAll="0"/>
    <pivotField showAll="0"/>
  </pivotFields>
  <rowFields count="1"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ales" fld="9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A0BED-021B-4AB9-9B86-E665B75B320B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8">
        <item h="1" x="0"/>
        <item x="3"/>
        <item x="2"/>
        <item x="1"/>
        <item x="4"/>
        <item x="5"/>
        <item h="1" x="6"/>
        <item t="default"/>
      </items>
    </pivotField>
    <pivotField showAll="0"/>
    <pivotField showAll="0"/>
    <pivotField dataField="1" showAll="0">
      <items count="53">
        <item x="37"/>
        <item x="32"/>
        <item x="48"/>
        <item x="39"/>
        <item x="23"/>
        <item x="29"/>
        <item x="38"/>
        <item x="5"/>
        <item x="46"/>
        <item x="6"/>
        <item x="26"/>
        <item x="35"/>
        <item x="17"/>
        <item x="25"/>
        <item x="15"/>
        <item x="19"/>
        <item x="11"/>
        <item x="34"/>
        <item x="43"/>
        <item x="4"/>
        <item x="18"/>
        <item x="49"/>
        <item x="44"/>
        <item x="21"/>
        <item x="30"/>
        <item x="3"/>
        <item x="20"/>
        <item x="47"/>
        <item x="22"/>
        <item x="10"/>
        <item x="42"/>
        <item x="36"/>
        <item x="12"/>
        <item x="45"/>
        <item x="2"/>
        <item x="27"/>
        <item x="7"/>
        <item x="8"/>
        <item x="14"/>
        <item x="16"/>
        <item x="41"/>
        <item x="40"/>
        <item x="9"/>
        <item x="13"/>
        <item x="51"/>
        <item x="1"/>
        <item x="28"/>
        <item x="33"/>
        <item x="24"/>
        <item x="31"/>
        <item x="0"/>
        <item x="50"/>
        <item t="default"/>
      </items>
    </pivotField>
    <pivotField showAll="0"/>
    <pivotField showAll="0"/>
  </pivotFields>
  <rowFields count="1">
    <field x="6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ales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25958-904F-43BC-9123-7CF45308D27A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dataField="1" showAll="0">
      <items count="415">
        <item x="0"/>
        <item x="1"/>
        <item x="2"/>
        <item x="45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h="1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1AB29-F8A2-4E2D-A8D7-DCFCD9D704B1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13">
        <item h="1" x="0"/>
        <item x="5"/>
        <item x="7"/>
        <item x="8"/>
        <item x="3"/>
        <item x="9"/>
        <item x="10"/>
        <item x="1"/>
        <item x="6"/>
        <item x="2"/>
        <item x="4"/>
        <item h="1" x="11"/>
        <item t="default"/>
      </items>
    </pivotField>
    <pivotField showAll="0"/>
    <pivotField showAll="0"/>
    <pivotField showAll="0"/>
    <pivotField dataField="1" showAll="0">
      <items count="53">
        <item x="37"/>
        <item x="32"/>
        <item x="48"/>
        <item x="39"/>
        <item x="23"/>
        <item x="29"/>
        <item x="38"/>
        <item x="5"/>
        <item x="46"/>
        <item x="6"/>
        <item x="26"/>
        <item x="35"/>
        <item x="17"/>
        <item x="25"/>
        <item x="15"/>
        <item x="19"/>
        <item x="11"/>
        <item x="34"/>
        <item x="43"/>
        <item x="4"/>
        <item x="18"/>
        <item x="49"/>
        <item x="44"/>
        <item x="21"/>
        <item x="30"/>
        <item x="3"/>
        <item x="20"/>
        <item x="47"/>
        <item x="22"/>
        <item x="10"/>
        <item x="42"/>
        <item x="36"/>
        <item x="12"/>
        <item x="45"/>
        <item x="2"/>
        <item x="27"/>
        <item x="7"/>
        <item x="8"/>
        <item x="14"/>
        <item x="16"/>
        <item x="41"/>
        <item x="40"/>
        <item x="9"/>
        <item x="13"/>
        <item x="51"/>
        <item x="1"/>
        <item x="28"/>
        <item x="33"/>
        <item x="24"/>
        <item x="31"/>
        <item x="0"/>
        <item x="50"/>
        <item t="default"/>
      </items>
    </pivotField>
    <pivotField showAll="0"/>
    <pivotField showAll="0"/>
  </pivotFields>
  <rowFields count="1">
    <field x="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ales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EC1BF8-B905-4C41-B44D-B2C599418180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12" dataBound="0" tableColumnId="14"/>
      <queryTableField id="3" name="Customer_Name" tableColumnId="3"/>
      <queryTableField id="4" name="City" tableColumnId="4"/>
      <queryTableField id="5" name="Product" tableColumnId="5"/>
      <queryTableField id="6" name="Category" tableColumnId="6"/>
      <queryTableField id="7" name="Quantity" tableColumnId="7"/>
      <queryTableField id="8" name="Unit_Price" tableColumnId="8"/>
      <queryTableField id="9" name="Sales" tableColumnId="9"/>
      <queryTableField id="10" name="Payment_Method" tableColumnId="10"/>
      <queryTableField id="11" name="Order_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82BC4-DDA1-4CFF-8BDE-CF2E5DC9FFD4}" name="Raw_Data" displayName="Raw_Data" ref="A1:L415" tableType="queryTable" totalsRowShown="0">
  <autoFilter ref="A1:L415" xr:uid="{2AC82BC4-DDA1-4CFF-8BDE-CF2E5DC9FFD4}">
    <filterColumn colId="1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filters blank="1">
        <filter val="Accessories"/>
        <filter val="Electronics"/>
        <filter val="Furniture"/>
        <filter val="Home Office"/>
        <filter val="Stationery"/>
      </filters>
    </filterColumn>
    <filterColumn colId="7">
      <customFilters>
        <customFilter operator="notEqual" val=" "/>
      </customFilters>
    </filterColumn>
    <filterColumn colId="8">
      <customFilters>
        <customFilter operator="notEqual" val=" "/>
      </customFilters>
    </filterColumn>
    <filterColumn colId="10">
      <customFilters>
        <customFilter operator="notEqual" val=" "/>
      </customFilters>
    </filterColumn>
    <filterColumn colId="11">
      <customFilters>
        <customFilter operator="notEqual" val=" "/>
      </customFilters>
    </filterColumn>
  </autoFilter>
  <tableColumns count="12">
    <tableColumn id="1" xr3:uid="{680533F4-2C90-4C30-8E14-C499CE21B3A4}" uniqueName="1" name="Order_ID" queryTableFieldId="1" dataDxfId="8"/>
    <tableColumn id="2" xr3:uid="{4BF983B9-1787-4EEB-AEFA-E233FB1AFE21}" uniqueName="2" name="Order_Date" queryTableFieldId="2" dataDxfId="7"/>
    <tableColumn id="14" xr3:uid="{800ECA65-CF94-4AD0-9754-3E5636CCACE9}" uniqueName="14" name="month" queryTableFieldId="12" dataDxfId="0">
      <calculatedColumnFormula>TEXT(Raw_Data[[#This Row],[Order_Date]],"mmmm")</calculatedColumnFormula>
    </tableColumn>
    <tableColumn id="3" xr3:uid="{52075C2E-516E-4EA6-A53E-4D8F4D77602A}" uniqueName="3" name="Customer_Name" queryTableFieldId="3" dataDxfId="6"/>
    <tableColumn id="4" xr3:uid="{600B0F47-1F84-4A37-A789-1ADBC8453BA0}" uniqueName="4" name="City" queryTableFieldId="4" dataDxfId="5"/>
    <tableColumn id="5" xr3:uid="{34B954C3-6915-4E99-A209-BB4978F20EEA}" uniqueName="5" name="Product" queryTableFieldId="5" dataDxfId="4"/>
    <tableColumn id="6" xr3:uid="{FF73B676-4B6B-4731-8477-E05CD5BB3D9F}" uniqueName="6" name="Category" queryTableFieldId="6" dataDxfId="3"/>
    <tableColumn id="7" xr3:uid="{AB3B6886-100A-49B2-9D24-0EA75F5840A7}" uniqueName="7" name="Quantity" queryTableFieldId="7"/>
    <tableColumn id="8" xr3:uid="{F450EC55-E248-4D8E-8F48-FB13BB998AB2}" uniqueName="8" name="Unit_Price" queryTableFieldId="8"/>
    <tableColumn id="9" xr3:uid="{982E4DAE-98F2-4D19-BD40-0C233FD0E5CA}" uniqueName="9" name="Sales" queryTableFieldId="9"/>
    <tableColumn id="10" xr3:uid="{147B02E7-C456-4617-9F90-C2EDE5678161}" uniqueName="10" name="Payment_Method" queryTableFieldId="10" dataDxfId="2"/>
    <tableColumn id="11" xr3:uid="{8A523906-198A-4990-9146-1E54F31BBCD4}" uniqueName="11" name="Order_Status" queryTableFieldId="1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19AD-D039-48B6-9BF0-EBAE96231CFE}">
  <dimension ref="A3:B16"/>
  <sheetViews>
    <sheetView workbookViewId="0">
      <selection activeCell="M10" sqref="M10"/>
    </sheetView>
  </sheetViews>
  <sheetFormatPr defaultRowHeight="14.4" x14ac:dyDescent="0.3"/>
  <cols>
    <col min="1" max="1" width="12.5546875" bestFit="1" customWidth="1"/>
    <col min="2" max="2" width="13.109375" bestFit="1" customWidth="1"/>
  </cols>
  <sheetData>
    <row r="3" spans="1:2" x14ac:dyDescent="0.3">
      <c r="A3" s="4" t="s">
        <v>726</v>
      </c>
      <c r="B3" t="s">
        <v>728</v>
      </c>
    </row>
    <row r="4" spans="1:2" x14ac:dyDescent="0.3">
      <c r="A4" s="5" t="s">
        <v>730</v>
      </c>
      <c r="B4" s="1">
        <v>35</v>
      </c>
    </row>
    <row r="5" spans="1:2" x14ac:dyDescent="0.3">
      <c r="A5" s="5" t="s">
        <v>731</v>
      </c>
      <c r="B5" s="1">
        <v>35</v>
      </c>
    </row>
    <row r="6" spans="1:2" x14ac:dyDescent="0.3">
      <c r="A6" s="5" t="s">
        <v>732</v>
      </c>
      <c r="B6" s="1">
        <v>32</v>
      </c>
    </row>
    <row r="7" spans="1:2" x14ac:dyDescent="0.3">
      <c r="A7" s="5" t="s">
        <v>733</v>
      </c>
      <c r="B7" s="1">
        <v>30</v>
      </c>
    </row>
    <row r="8" spans="1:2" x14ac:dyDescent="0.3">
      <c r="A8" s="5" t="s">
        <v>734</v>
      </c>
      <c r="B8" s="1">
        <v>39</v>
      </c>
    </row>
    <row r="9" spans="1:2" x14ac:dyDescent="0.3">
      <c r="A9" s="5" t="s">
        <v>735</v>
      </c>
      <c r="B9" s="1">
        <v>30</v>
      </c>
    </row>
    <row r="10" spans="1:2" x14ac:dyDescent="0.3">
      <c r="A10" s="5" t="s">
        <v>736</v>
      </c>
      <c r="B10" s="1">
        <v>29</v>
      </c>
    </row>
    <row r="11" spans="1:2" x14ac:dyDescent="0.3">
      <c r="A11" s="5" t="s">
        <v>737</v>
      </c>
      <c r="B11" s="1">
        <v>31</v>
      </c>
    </row>
    <row r="12" spans="1:2" x14ac:dyDescent="0.3">
      <c r="A12" s="5" t="s">
        <v>738</v>
      </c>
      <c r="B12" s="1">
        <v>36</v>
      </c>
    </row>
    <row r="13" spans="1:2" x14ac:dyDescent="0.3">
      <c r="A13" s="5" t="s">
        <v>739</v>
      </c>
      <c r="B13" s="1">
        <v>42</v>
      </c>
    </row>
    <row r="14" spans="1:2" x14ac:dyDescent="0.3">
      <c r="A14" s="5" t="s">
        <v>740</v>
      </c>
      <c r="B14" s="1">
        <v>24</v>
      </c>
    </row>
    <row r="15" spans="1:2" x14ac:dyDescent="0.3">
      <c r="A15" s="5" t="s">
        <v>741</v>
      </c>
      <c r="B15" s="1">
        <v>49</v>
      </c>
    </row>
    <row r="16" spans="1:2" x14ac:dyDescent="0.3">
      <c r="A16" s="5" t="s">
        <v>727</v>
      </c>
      <c r="B16" s="1">
        <v>412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0DE2-F314-48C6-A9AD-743CE2852DE4}">
  <dimension ref="A3:B12"/>
  <sheetViews>
    <sheetView workbookViewId="0">
      <selection activeCell="L6" sqref="L6"/>
    </sheetView>
  </sheetViews>
  <sheetFormatPr defaultRowHeight="14.4" x14ac:dyDescent="0.3"/>
  <cols>
    <col min="1" max="1" width="12.5546875" bestFit="1" customWidth="1"/>
    <col min="2" max="2" width="13.109375" bestFit="1" customWidth="1"/>
  </cols>
  <sheetData>
    <row r="3" spans="1:2" x14ac:dyDescent="0.3">
      <c r="A3" s="4" t="s">
        <v>726</v>
      </c>
      <c r="B3" t="s">
        <v>728</v>
      </c>
    </row>
    <row r="4" spans="1:2" x14ac:dyDescent="0.3">
      <c r="A4" s="5" t="s">
        <v>50</v>
      </c>
      <c r="B4" s="1">
        <v>56</v>
      </c>
    </row>
    <row r="5" spans="1:2" x14ac:dyDescent="0.3">
      <c r="A5" s="5" t="s">
        <v>58</v>
      </c>
      <c r="B5" s="1">
        <v>48</v>
      </c>
    </row>
    <row r="6" spans="1:2" x14ac:dyDescent="0.3">
      <c r="A6" s="5" t="s">
        <v>53</v>
      </c>
      <c r="B6" s="1">
        <v>48</v>
      </c>
    </row>
    <row r="7" spans="1:2" x14ac:dyDescent="0.3">
      <c r="A7" s="5" t="s">
        <v>14</v>
      </c>
      <c r="B7" s="1">
        <v>52</v>
      </c>
    </row>
    <row r="8" spans="1:2" x14ac:dyDescent="0.3">
      <c r="A8" s="5" t="s">
        <v>20</v>
      </c>
      <c r="B8" s="1">
        <v>42</v>
      </c>
    </row>
    <row r="9" spans="1:2" x14ac:dyDescent="0.3">
      <c r="A9" s="5" t="s">
        <v>33</v>
      </c>
      <c r="B9" s="1">
        <v>54</v>
      </c>
    </row>
    <row r="10" spans="1:2" x14ac:dyDescent="0.3">
      <c r="A10" s="5" t="s">
        <v>56</v>
      </c>
      <c r="B10" s="1">
        <v>59</v>
      </c>
    </row>
    <row r="11" spans="1:2" x14ac:dyDescent="0.3">
      <c r="A11" s="5" t="s">
        <v>37</v>
      </c>
      <c r="B11" s="1">
        <v>51</v>
      </c>
    </row>
    <row r="12" spans="1:2" x14ac:dyDescent="0.3">
      <c r="A12" s="5" t="s">
        <v>727</v>
      </c>
      <c r="B12" s="1">
        <v>410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1FDC-284B-4293-8C5E-008FFF4F3EB1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3.109375" bestFit="1" customWidth="1"/>
  </cols>
  <sheetData>
    <row r="3" spans="1:2" x14ac:dyDescent="0.3">
      <c r="A3" s="4" t="s">
        <v>726</v>
      </c>
      <c r="B3" t="s">
        <v>728</v>
      </c>
    </row>
    <row r="4" spans="1:2" x14ac:dyDescent="0.3">
      <c r="A4" s="5" t="s">
        <v>16</v>
      </c>
      <c r="B4" s="1">
        <v>166</v>
      </c>
    </row>
    <row r="5" spans="1:2" x14ac:dyDescent="0.3">
      <c r="A5" s="5" t="s">
        <v>27</v>
      </c>
      <c r="B5" s="1">
        <v>116</v>
      </c>
    </row>
    <row r="6" spans="1:2" x14ac:dyDescent="0.3">
      <c r="A6" s="5" t="s">
        <v>42</v>
      </c>
      <c r="B6" s="1">
        <v>41</v>
      </c>
    </row>
    <row r="7" spans="1:2" x14ac:dyDescent="0.3">
      <c r="A7" s="5" t="s">
        <v>81</v>
      </c>
      <c r="B7" s="1">
        <v>48</v>
      </c>
    </row>
    <row r="8" spans="1:2" x14ac:dyDescent="0.3">
      <c r="A8" s="5" t="s">
        <v>22</v>
      </c>
      <c r="B8" s="1">
        <v>39</v>
      </c>
    </row>
    <row r="9" spans="1:2" x14ac:dyDescent="0.3">
      <c r="A9" s="5" t="s">
        <v>727</v>
      </c>
      <c r="B9" s="1">
        <v>410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D60A-9441-4791-BBA4-A54411B2A8D3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4" t="s">
        <v>726</v>
      </c>
      <c r="B3" t="s">
        <v>742</v>
      </c>
    </row>
    <row r="4" spans="1:2" x14ac:dyDescent="0.3">
      <c r="A4" s="5" t="s">
        <v>18</v>
      </c>
      <c r="B4" s="1">
        <v>259</v>
      </c>
    </row>
    <row r="5" spans="1:2" x14ac:dyDescent="0.3">
      <c r="A5" s="5" t="s">
        <v>161</v>
      </c>
      <c r="B5" s="1">
        <v>1</v>
      </c>
    </row>
    <row r="6" spans="1:2" x14ac:dyDescent="0.3">
      <c r="A6" s="5" t="s">
        <v>47</v>
      </c>
      <c r="B6" s="1">
        <v>82</v>
      </c>
    </row>
    <row r="7" spans="1:2" x14ac:dyDescent="0.3">
      <c r="A7" s="5" t="s">
        <v>29</v>
      </c>
      <c r="B7" s="1">
        <v>71</v>
      </c>
    </row>
    <row r="8" spans="1:2" x14ac:dyDescent="0.3">
      <c r="A8" s="5" t="s">
        <v>727</v>
      </c>
      <c r="B8" s="1">
        <v>413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460E-7EDA-44FF-893E-EBDFB7863791}">
  <dimension ref="A3:B14"/>
  <sheetViews>
    <sheetView workbookViewId="0">
      <selection activeCell="A3" sqref="A3"/>
    </sheetView>
  </sheetViews>
  <sheetFormatPr defaultRowHeight="14.4" x14ac:dyDescent="0.3"/>
  <cols>
    <col min="1" max="1" width="14" bestFit="1" customWidth="1"/>
    <col min="2" max="2" width="13.109375" bestFit="1" customWidth="1"/>
  </cols>
  <sheetData>
    <row r="3" spans="1:2" x14ac:dyDescent="0.3">
      <c r="A3" s="4" t="s">
        <v>726</v>
      </c>
      <c r="B3" t="s">
        <v>728</v>
      </c>
    </row>
    <row r="4" spans="1:2" x14ac:dyDescent="0.3">
      <c r="A4" s="5" t="s">
        <v>80</v>
      </c>
      <c r="B4" s="1">
        <v>49</v>
      </c>
    </row>
    <row r="5" spans="1:2" x14ac:dyDescent="0.3">
      <c r="A5" s="5" t="s">
        <v>63</v>
      </c>
      <c r="B5" s="1">
        <v>39</v>
      </c>
    </row>
    <row r="6" spans="1:2" x14ac:dyDescent="0.3">
      <c r="A6" s="5" t="s">
        <v>15</v>
      </c>
      <c r="B6" s="1">
        <v>41</v>
      </c>
    </row>
    <row r="7" spans="1:2" x14ac:dyDescent="0.3">
      <c r="A7" s="5" t="s">
        <v>34</v>
      </c>
      <c r="B7" s="1">
        <v>47</v>
      </c>
    </row>
    <row r="8" spans="1:2" x14ac:dyDescent="0.3">
      <c r="A8" s="5" t="s">
        <v>38</v>
      </c>
      <c r="B8" s="1">
        <v>36</v>
      </c>
    </row>
    <row r="9" spans="1:2" x14ac:dyDescent="0.3">
      <c r="A9" s="5" t="s">
        <v>21</v>
      </c>
      <c r="B9" s="1">
        <v>39</v>
      </c>
    </row>
    <row r="10" spans="1:2" x14ac:dyDescent="0.3">
      <c r="A10" s="5" t="s">
        <v>41</v>
      </c>
      <c r="B10" s="1">
        <v>41</v>
      </c>
    </row>
    <row r="11" spans="1:2" x14ac:dyDescent="0.3">
      <c r="A11" s="5" t="s">
        <v>46</v>
      </c>
      <c r="B11" s="1">
        <v>42</v>
      </c>
    </row>
    <row r="12" spans="1:2" x14ac:dyDescent="0.3">
      <c r="A12" s="5" t="s">
        <v>26</v>
      </c>
      <c r="B12" s="1">
        <v>42</v>
      </c>
    </row>
    <row r="13" spans="1:2" x14ac:dyDescent="0.3">
      <c r="A13" s="5" t="s">
        <v>65</v>
      </c>
      <c r="B13" s="1">
        <v>34</v>
      </c>
    </row>
    <row r="14" spans="1:2" x14ac:dyDescent="0.3">
      <c r="A14" s="5" t="s">
        <v>727</v>
      </c>
      <c r="B14" s="1">
        <v>410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49D1-7B8D-41E1-9B67-9B4819B39859}">
  <dimension ref="A1:L501"/>
  <sheetViews>
    <sheetView topLeftCell="A393" workbookViewId="0">
      <selection sqref="A1:L415"/>
    </sheetView>
  </sheetViews>
  <sheetFormatPr defaultRowHeight="14.4" x14ac:dyDescent="0.3"/>
  <cols>
    <col min="1" max="1" width="10.77734375" bestFit="1" customWidth="1"/>
    <col min="2" max="2" width="12.88671875" style="3" bestFit="1" customWidth="1"/>
    <col min="3" max="4" width="17.44140625" bestFit="1" customWidth="1"/>
    <col min="5" max="5" width="14" bestFit="1" customWidth="1"/>
    <col min="6" max="6" width="11.33203125" bestFit="1" customWidth="1"/>
    <col min="7" max="7" width="10.5546875" bestFit="1" customWidth="1"/>
    <col min="8" max="8" width="11.88671875" bestFit="1" customWidth="1"/>
    <col min="9" max="9" width="7.44140625" bestFit="1" customWidth="1"/>
    <col min="10" max="10" width="18.6640625" bestFit="1" customWidth="1"/>
    <col min="11" max="11" width="14.21875" bestFit="1" customWidth="1"/>
  </cols>
  <sheetData>
    <row r="1" spans="1:12" x14ac:dyDescent="0.3">
      <c r="A1" t="s">
        <v>0</v>
      </c>
      <c r="B1" s="3" t="s">
        <v>1</v>
      </c>
      <c r="C1" s="3" t="s">
        <v>729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idden="1" x14ac:dyDescent="0.3">
      <c r="A2" s="1" t="s">
        <v>11</v>
      </c>
      <c r="B2" s="2" t="s">
        <v>12</v>
      </c>
      <c r="C2" s="2" t="str">
        <f>TEXT(Raw_Data[[#This Row],[Order_Date]],"mmmm")</f>
        <v>May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1" t="s">
        <v>18</v>
      </c>
    </row>
    <row r="3" spans="1:12" hidden="1" x14ac:dyDescent="0.3">
      <c r="A3" s="1" t="s">
        <v>60</v>
      </c>
      <c r="B3" s="2" t="s">
        <v>61</v>
      </c>
      <c r="C3" s="2" t="str">
        <f>TEXT(Raw_Data[[#This Row],[Order_Date]],"mmmm")</f>
        <v>September</v>
      </c>
      <c r="D3" s="1" t="s">
        <v>31</v>
      </c>
      <c r="E3" s="1"/>
      <c r="F3" s="1" t="s">
        <v>41</v>
      </c>
      <c r="G3" s="1" t="s">
        <v>42</v>
      </c>
      <c r="H3">
        <v>4</v>
      </c>
      <c r="I3">
        <v>7499</v>
      </c>
      <c r="J3">
        <v>29996</v>
      </c>
      <c r="K3" s="1" t="s">
        <v>23</v>
      </c>
      <c r="L3" s="1" t="s">
        <v>47</v>
      </c>
    </row>
    <row r="4" spans="1:12" hidden="1" x14ac:dyDescent="0.3">
      <c r="A4" s="1" t="s">
        <v>97</v>
      </c>
      <c r="B4" s="2" t="s">
        <v>98</v>
      </c>
      <c r="C4" s="2" t="str">
        <f>TEXT(Raw_Data[[#This Row],[Order_Date]],"mmmm")</f>
        <v>August</v>
      </c>
      <c r="D4" s="1"/>
      <c r="E4" s="1" t="s">
        <v>33</v>
      </c>
      <c r="F4" s="1" t="s">
        <v>26</v>
      </c>
      <c r="G4" s="1" t="s">
        <v>27</v>
      </c>
      <c r="H4">
        <v>3</v>
      </c>
      <c r="I4">
        <v>2199</v>
      </c>
      <c r="J4">
        <v>6597</v>
      </c>
      <c r="K4" s="1" t="s">
        <v>28</v>
      </c>
      <c r="L4" s="1" t="s">
        <v>18</v>
      </c>
    </row>
    <row r="5" spans="1:12" x14ac:dyDescent="0.3">
      <c r="A5" s="1" t="s">
        <v>109</v>
      </c>
      <c r="B5" s="2" t="s">
        <v>93</v>
      </c>
      <c r="C5" s="2" t="str">
        <f>TEXT(Raw_Data[[#This Row],[Order_Date]],"mmmm")</f>
        <v>May</v>
      </c>
      <c r="D5" s="1" t="s">
        <v>19</v>
      </c>
      <c r="E5" s="1" t="s">
        <v>37</v>
      </c>
      <c r="F5" s="1" t="s">
        <v>34</v>
      </c>
      <c r="G5" s="1" t="s">
        <v>16</v>
      </c>
      <c r="H5">
        <v>4</v>
      </c>
      <c r="I5">
        <v>999</v>
      </c>
      <c r="J5">
        <v>3996</v>
      </c>
      <c r="K5" s="1" t="s">
        <v>23</v>
      </c>
      <c r="L5" s="1" t="s">
        <v>29</v>
      </c>
    </row>
    <row r="6" spans="1:12" x14ac:dyDescent="0.3">
      <c r="A6" s="1" t="s">
        <v>110</v>
      </c>
      <c r="B6" s="2" t="s">
        <v>111</v>
      </c>
      <c r="C6" s="2" t="str">
        <f>TEXT(Raw_Data[[#This Row],[Order_Date]],"mmmm")</f>
        <v>January</v>
      </c>
      <c r="D6" s="1" t="s">
        <v>36</v>
      </c>
      <c r="E6" s="1" t="s">
        <v>14</v>
      </c>
      <c r="F6" s="1" t="s">
        <v>65</v>
      </c>
      <c r="G6" s="1" t="s">
        <v>16</v>
      </c>
      <c r="H6">
        <v>5</v>
      </c>
      <c r="I6">
        <v>599</v>
      </c>
      <c r="J6">
        <v>2995</v>
      </c>
      <c r="K6" s="1" t="s">
        <v>23</v>
      </c>
      <c r="L6" s="1" t="s">
        <v>18</v>
      </c>
    </row>
    <row r="7" spans="1:12" x14ac:dyDescent="0.3">
      <c r="A7" s="1" t="s">
        <v>112</v>
      </c>
      <c r="B7" s="2" t="s">
        <v>113</v>
      </c>
      <c r="C7" s="2" t="str">
        <f>TEXT(Raw_Data[[#This Row],[Order_Date]],"mmmm")</f>
        <v>April</v>
      </c>
      <c r="D7" s="1" t="s">
        <v>25</v>
      </c>
      <c r="E7" s="1" t="s">
        <v>53</v>
      </c>
      <c r="F7" s="1" t="s">
        <v>65</v>
      </c>
      <c r="G7" s="1" t="s">
        <v>16</v>
      </c>
      <c r="H7">
        <v>2</v>
      </c>
      <c r="I7">
        <v>599</v>
      </c>
      <c r="J7">
        <v>1198</v>
      </c>
      <c r="K7" s="1" t="s">
        <v>17</v>
      </c>
      <c r="L7" s="1" t="s">
        <v>18</v>
      </c>
    </row>
    <row r="8" spans="1:12" x14ac:dyDescent="0.3">
      <c r="A8" s="1" t="s">
        <v>114</v>
      </c>
      <c r="B8" s="2" t="s">
        <v>115</v>
      </c>
      <c r="C8" s="2" t="str">
        <f>TEXT(Raw_Data[[#This Row],[Order_Date]],"mmmm")</f>
        <v>October</v>
      </c>
      <c r="D8" s="1" t="s">
        <v>13</v>
      </c>
      <c r="E8" s="1" t="s">
        <v>50</v>
      </c>
      <c r="F8" s="1" t="s">
        <v>80</v>
      </c>
      <c r="G8" s="1" t="s">
        <v>81</v>
      </c>
      <c r="H8">
        <v>1</v>
      </c>
      <c r="I8">
        <v>1299</v>
      </c>
      <c r="J8">
        <v>1299</v>
      </c>
      <c r="K8" s="1" t="s">
        <v>54</v>
      </c>
      <c r="L8" s="1" t="s">
        <v>18</v>
      </c>
    </row>
    <row r="9" spans="1:12" x14ac:dyDescent="0.3">
      <c r="A9" s="1" t="s">
        <v>116</v>
      </c>
      <c r="B9" s="2" t="s">
        <v>70</v>
      </c>
      <c r="C9" s="2" t="str">
        <f>TEXT(Raw_Data[[#This Row],[Order_Date]],"mmmm")</f>
        <v>November</v>
      </c>
      <c r="D9" s="1" t="s">
        <v>39</v>
      </c>
      <c r="E9" s="1" t="s">
        <v>53</v>
      </c>
      <c r="F9" s="1" t="s">
        <v>46</v>
      </c>
      <c r="G9" s="1" t="s">
        <v>16</v>
      </c>
      <c r="H9">
        <v>5</v>
      </c>
      <c r="I9">
        <v>1499</v>
      </c>
      <c r="J9">
        <v>7495</v>
      </c>
      <c r="K9" s="1" t="s">
        <v>54</v>
      </c>
      <c r="L9" s="1" t="s">
        <v>18</v>
      </c>
    </row>
    <row r="10" spans="1:12" x14ac:dyDescent="0.3">
      <c r="A10" s="1" t="s">
        <v>117</v>
      </c>
      <c r="B10" s="2" t="s">
        <v>118</v>
      </c>
      <c r="C10" s="2" t="str">
        <f>TEXT(Raw_Data[[#This Row],[Order_Date]],"mmmm")</f>
        <v>June</v>
      </c>
      <c r="D10" s="1" t="s">
        <v>19</v>
      </c>
      <c r="E10" s="1" t="s">
        <v>56</v>
      </c>
      <c r="F10" s="1" t="s">
        <v>41</v>
      </c>
      <c r="G10" s="1" t="s">
        <v>42</v>
      </c>
      <c r="H10">
        <v>1</v>
      </c>
      <c r="I10">
        <v>7499</v>
      </c>
      <c r="J10">
        <v>7499</v>
      </c>
      <c r="K10" s="1" t="s">
        <v>17</v>
      </c>
      <c r="L10" s="1" t="s">
        <v>18</v>
      </c>
    </row>
    <row r="11" spans="1:12" x14ac:dyDescent="0.3">
      <c r="A11" s="1" t="s">
        <v>119</v>
      </c>
      <c r="B11" s="2" t="s">
        <v>120</v>
      </c>
      <c r="C11" s="2" t="str">
        <f>TEXT(Raw_Data[[#This Row],[Order_Date]],"mmmm")</f>
        <v>February</v>
      </c>
      <c r="D11" s="1" t="s">
        <v>31</v>
      </c>
      <c r="E11" s="1" t="s">
        <v>58</v>
      </c>
      <c r="F11" s="1" t="s">
        <v>41</v>
      </c>
      <c r="G11" s="1" t="s">
        <v>42</v>
      </c>
      <c r="H11">
        <v>2</v>
      </c>
      <c r="I11">
        <v>7499</v>
      </c>
      <c r="J11">
        <v>14998</v>
      </c>
      <c r="K11" s="1" t="s">
        <v>28</v>
      </c>
      <c r="L11" s="1" t="s">
        <v>18</v>
      </c>
    </row>
    <row r="12" spans="1:12" x14ac:dyDescent="0.3">
      <c r="A12" s="1" t="s">
        <v>121</v>
      </c>
      <c r="B12" s="2" t="s">
        <v>122</v>
      </c>
      <c r="C12" s="2" t="str">
        <f>TEXT(Raw_Data[[#This Row],[Order_Date]],"mmmm")</f>
        <v>August</v>
      </c>
      <c r="D12" s="1" t="s">
        <v>36</v>
      </c>
      <c r="E12" s="1" t="s">
        <v>58</v>
      </c>
      <c r="F12" s="1" t="s">
        <v>34</v>
      </c>
      <c r="G12" s="1" t="s">
        <v>16</v>
      </c>
      <c r="H12">
        <v>5</v>
      </c>
      <c r="I12">
        <v>999</v>
      </c>
      <c r="J12">
        <v>4995</v>
      </c>
      <c r="K12" s="1" t="s">
        <v>28</v>
      </c>
      <c r="L12" s="1" t="s">
        <v>18</v>
      </c>
    </row>
    <row r="13" spans="1:12" hidden="1" x14ac:dyDescent="0.3">
      <c r="A13" s="1" t="s">
        <v>123</v>
      </c>
      <c r="B13" s="2" t="s">
        <v>124</v>
      </c>
      <c r="C13" s="2" t="str">
        <f>TEXT(Raw_Data[[#This Row],[Order_Date]],"mmmm")</f>
        <v>September</v>
      </c>
      <c r="D13" s="1" t="s">
        <v>39</v>
      </c>
      <c r="E13" s="1" t="s">
        <v>56</v>
      </c>
      <c r="F13" s="1" t="s">
        <v>65</v>
      </c>
      <c r="G13" s="1" t="s">
        <v>16</v>
      </c>
      <c r="I13">
        <v>599</v>
      </c>
      <c r="J13">
        <v>2396</v>
      </c>
      <c r="K13" s="1" t="s">
        <v>54</v>
      </c>
      <c r="L13" s="1" t="s">
        <v>29</v>
      </c>
    </row>
    <row r="14" spans="1:12" x14ac:dyDescent="0.3">
      <c r="A14" s="1" t="s">
        <v>125</v>
      </c>
      <c r="B14" s="2" t="s">
        <v>126</v>
      </c>
      <c r="C14" s="2" t="str">
        <f>TEXT(Raw_Data[[#This Row],[Order_Date]],"mmmm")</f>
        <v>April</v>
      </c>
      <c r="D14" s="1" t="s">
        <v>31</v>
      </c>
      <c r="E14" s="1" t="s">
        <v>50</v>
      </c>
      <c r="F14" s="1" t="s">
        <v>46</v>
      </c>
      <c r="G14" s="1" t="s">
        <v>16</v>
      </c>
      <c r="H14">
        <v>4</v>
      </c>
      <c r="I14">
        <v>1499</v>
      </c>
      <c r="J14">
        <v>5996</v>
      </c>
      <c r="K14" s="1" t="s">
        <v>44</v>
      </c>
      <c r="L14" s="1" t="s">
        <v>29</v>
      </c>
    </row>
    <row r="15" spans="1:12" x14ac:dyDescent="0.3">
      <c r="A15" s="1" t="s">
        <v>127</v>
      </c>
      <c r="B15" s="2" t="s">
        <v>67</v>
      </c>
      <c r="C15" s="2" t="str">
        <f>TEXT(Raw_Data[[#This Row],[Order_Date]],"mmmm")</f>
        <v>June</v>
      </c>
      <c r="D15" s="1" t="s">
        <v>13</v>
      </c>
      <c r="E15" s="1" t="s">
        <v>58</v>
      </c>
      <c r="F15" s="1" t="s">
        <v>41</v>
      </c>
      <c r="G15" s="1" t="s">
        <v>42</v>
      </c>
      <c r="H15">
        <v>3</v>
      </c>
      <c r="I15">
        <v>7499</v>
      </c>
      <c r="J15">
        <v>22497</v>
      </c>
      <c r="K15" s="1" t="s">
        <v>54</v>
      </c>
      <c r="L15" s="1" t="s">
        <v>29</v>
      </c>
    </row>
    <row r="16" spans="1:12" x14ac:dyDescent="0.3">
      <c r="A16" s="1" t="s">
        <v>128</v>
      </c>
      <c r="B16" s="2" t="s">
        <v>129</v>
      </c>
      <c r="C16" s="2" t="str">
        <f>TEXT(Raw_Data[[#This Row],[Order_Date]],"mmmm")</f>
        <v>October</v>
      </c>
      <c r="D16" s="1" t="s">
        <v>19</v>
      </c>
      <c r="E16" s="1" t="s">
        <v>33</v>
      </c>
      <c r="F16" s="1" t="s">
        <v>26</v>
      </c>
      <c r="G16" s="1" t="s">
        <v>27</v>
      </c>
      <c r="H16">
        <v>4</v>
      </c>
      <c r="I16">
        <v>2199</v>
      </c>
      <c r="J16">
        <v>8796</v>
      </c>
      <c r="K16" s="1" t="s">
        <v>23</v>
      </c>
      <c r="L16" s="1" t="s">
        <v>29</v>
      </c>
    </row>
    <row r="17" spans="1:12" x14ac:dyDescent="0.3">
      <c r="A17" s="1" t="s">
        <v>130</v>
      </c>
      <c r="B17" s="2" t="s">
        <v>131</v>
      </c>
      <c r="C17" s="2" t="str">
        <f>TEXT(Raw_Data[[#This Row],[Order_Date]],"mmmm")</f>
        <v>September</v>
      </c>
      <c r="D17" s="1" t="s">
        <v>13</v>
      </c>
      <c r="E17" s="1" t="s">
        <v>33</v>
      </c>
      <c r="F17" s="1" t="s">
        <v>34</v>
      </c>
      <c r="G17" s="1" t="s">
        <v>16</v>
      </c>
      <c r="H17">
        <v>2</v>
      </c>
      <c r="I17">
        <v>999</v>
      </c>
      <c r="J17">
        <v>1998</v>
      </c>
      <c r="K17" s="1" t="s">
        <v>54</v>
      </c>
      <c r="L17" s="1" t="s">
        <v>18</v>
      </c>
    </row>
    <row r="18" spans="1:12" x14ac:dyDescent="0.3">
      <c r="A18" s="1" t="s">
        <v>132</v>
      </c>
      <c r="B18" s="2" t="s">
        <v>133</v>
      </c>
      <c r="C18" s="2" t="str">
        <f>TEXT(Raw_Data[[#This Row],[Order_Date]],"mmmm")</f>
        <v>December</v>
      </c>
      <c r="D18" s="1" t="s">
        <v>31</v>
      </c>
      <c r="E18" s="1" t="s">
        <v>20</v>
      </c>
      <c r="F18" s="1" t="s">
        <v>63</v>
      </c>
      <c r="G18" s="1" t="s">
        <v>27</v>
      </c>
      <c r="H18">
        <v>5</v>
      </c>
      <c r="I18">
        <v>1799</v>
      </c>
      <c r="J18">
        <v>8995</v>
      </c>
      <c r="K18" s="1" t="s">
        <v>28</v>
      </c>
      <c r="L18" s="1" t="s">
        <v>18</v>
      </c>
    </row>
    <row r="19" spans="1:12" x14ac:dyDescent="0.3">
      <c r="A19" s="1" t="s">
        <v>134</v>
      </c>
      <c r="B19" s="2" t="s">
        <v>91</v>
      </c>
      <c r="C19" s="2" t="str">
        <f>TEXT(Raw_Data[[#This Row],[Order_Date]],"mmmm")</f>
        <v>July</v>
      </c>
      <c r="D19" s="1" t="s">
        <v>52</v>
      </c>
      <c r="E19" s="1" t="s">
        <v>14</v>
      </c>
      <c r="F19" s="1" t="s">
        <v>15</v>
      </c>
      <c r="G19" s="1" t="s">
        <v>16</v>
      </c>
      <c r="H19">
        <v>2</v>
      </c>
      <c r="I19">
        <v>899</v>
      </c>
      <c r="J19">
        <v>1798</v>
      </c>
      <c r="K19" s="1" t="s">
        <v>44</v>
      </c>
      <c r="L19" s="1" t="s">
        <v>29</v>
      </c>
    </row>
    <row r="20" spans="1:12" x14ac:dyDescent="0.3">
      <c r="A20" s="1" t="s">
        <v>135</v>
      </c>
      <c r="B20" s="2" t="s">
        <v>103</v>
      </c>
      <c r="C20" s="2" t="str">
        <f>TEXT(Raw_Data[[#This Row],[Order_Date]],"mmmm")</f>
        <v>February</v>
      </c>
      <c r="D20" s="1" t="s">
        <v>31</v>
      </c>
      <c r="E20" s="1" t="s">
        <v>14</v>
      </c>
      <c r="F20" s="1" t="s">
        <v>80</v>
      </c>
      <c r="G20" s="1" t="s">
        <v>81</v>
      </c>
      <c r="H20">
        <v>1</v>
      </c>
      <c r="I20">
        <v>1299</v>
      </c>
      <c r="J20">
        <v>1299</v>
      </c>
      <c r="K20" s="1" t="s">
        <v>44</v>
      </c>
      <c r="L20" s="1" t="s">
        <v>18</v>
      </c>
    </row>
    <row r="21" spans="1:12" x14ac:dyDescent="0.3">
      <c r="A21" s="1" t="s">
        <v>136</v>
      </c>
      <c r="B21" s="2" t="s">
        <v>137</v>
      </c>
      <c r="C21" s="2" t="str">
        <f>TEXT(Raw_Data[[#This Row],[Order_Date]],"mmmm")</f>
        <v>July</v>
      </c>
      <c r="D21" s="1" t="s">
        <v>52</v>
      </c>
      <c r="E21" s="1" t="s">
        <v>33</v>
      </c>
      <c r="F21" s="1" t="s">
        <v>63</v>
      </c>
      <c r="G21" s="1" t="s">
        <v>27</v>
      </c>
      <c r="H21">
        <v>5</v>
      </c>
      <c r="I21">
        <v>1799</v>
      </c>
      <c r="J21">
        <v>8995</v>
      </c>
      <c r="K21" s="1" t="s">
        <v>44</v>
      </c>
      <c r="L21" s="1" t="s">
        <v>47</v>
      </c>
    </row>
    <row r="22" spans="1:12" x14ac:dyDescent="0.3">
      <c r="A22" s="1" t="s">
        <v>138</v>
      </c>
      <c r="B22" s="2" t="s">
        <v>133</v>
      </c>
      <c r="C22" s="2" t="str">
        <f>TEXT(Raw_Data[[#This Row],[Order_Date]],"mmmm")</f>
        <v>December</v>
      </c>
      <c r="D22" s="1" t="s">
        <v>52</v>
      </c>
      <c r="E22" s="1" t="s">
        <v>37</v>
      </c>
      <c r="F22" s="1" t="s">
        <v>34</v>
      </c>
      <c r="G22" s="1" t="s">
        <v>16</v>
      </c>
      <c r="H22">
        <v>3</v>
      </c>
      <c r="I22">
        <v>999</v>
      </c>
      <c r="J22">
        <v>2997</v>
      </c>
      <c r="K22" s="1" t="s">
        <v>54</v>
      </c>
      <c r="L22" s="1" t="s">
        <v>18</v>
      </c>
    </row>
    <row r="23" spans="1:12" x14ac:dyDescent="0.3">
      <c r="A23" s="1" t="s">
        <v>139</v>
      </c>
      <c r="B23" s="2" t="s">
        <v>75</v>
      </c>
      <c r="C23" s="2" t="str">
        <f>TEXT(Raw_Data[[#This Row],[Order_Date]],"mmmm")</f>
        <v>April</v>
      </c>
      <c r="D23" s="1" t="s">
        <v>36</v>
      </c>
      <c r="E23" s="1" t="s">
        <v>58</v>
      </c>
      <c r="F23" s="1" t="s">
        <v>26</v>
      </c>
      <c r="G23" s="1" t="s">
        <v>27</v>
      </c>
      <c r="H23">
        <v>1</v>
      </c>
      <c r="I23">
        <v>2199</v>
      </c>
      <c r="J23">
        <v>2199</v>
      </c>
      <c r="K23" s="1" t="s">
        <v>28</v>
      </c>
      <c r="L23" s="1" t="s">
        <v>18</v>
      </c>
    </row>
    <row r="24" spans="1:12" x14ac:dyDescent="0.3">
      <c r="A24" s="1" t="s">
        <v>140</v>
      </c>
      <c r="B24" s="2" t="s">
        <v>141</v>
      </c>
      <c r="C24" s="2" t="str">
        <f>TEXT(Raw_Data[[#This Row],[Order_Date]],"mmmm")</f>
        <v>September</v>
      </c>
      <c r="D24" s="1" t="s">
        <v>31</v>
      </c>
      <c r="E24" s="1" t="s">
        <v>37</v>
      </c>
      <c r="F24" s="1" t="s">
        <v>26</v>
      </c>
      <c r="G24" s="1" t="s">
        <v>27</v>
      </c>
      <c r="H24">
        <v>2</v>
      </c>
      <c r="I24">
        <v>2199</v>
      </c>
      <c r="J24">
        <v>4398</v>
      </c>
      <c r="K24" s="1" t="s">
        <v>23</v>
      </c>
      <c r="L24" s="1" t="s">
        <v>18</v>
      </c>
    </row>
    <row r="25" spans="1:12" x14ac:dyDescent="0.3">
      <c r="A25" s="1" t="s">
        <v>142</v>
      </c>
      <c r="B25" s="2" t="s">
        <v>143</v>
      </c>
      <c r="C25" s="2" t="str">
        <f>TEXT(Raw_Data[[#This Row],[Order_Date]],"mmmm")</f>
        <v>July</v>
      </c>
      <c r="D25" s="1" t="s">
        <v>49</v>
      </c>
      <c r="E25" s="1" t="s">
        <v>37</v>
      </c>
      <c r="F25" s="1" t="s">
        <v>63</v>
      </c>
      <c r="G25" s="1" t="s">
        <v>27</v>
      </c>
      <c r="H25">
        <v>2</v>
      </c>
      <c r="I25">
        <v>1799</v>
      </c>
      <c r="J25">
        <v>3598</v>
      </c>
      <c r="K25" s="1" t="s">
        <v>23</v>
      </c>
      <c r="L25" s="1" t="s">
        <v>47</v>
      </c>
    </row>
    <row r="26" spans="1:12" x14ac:dyDescent="0.3">
      <c r="A26" s="1" t="s">
        <v>144</v>
      </c>
      <c r="B26" s="2" t="s">
        <v>104</v>
      </c>
      <c r="C26" s="2" t="str">
        <f>TEXT(Raw_Data[[#This Row],[Order_Date]],"mmmm")</f>
        <v>January</v>
      </c>
      <c r="D26" s="1" t="s">
        <v>25</v>
      </c>
      <c r="E26" s="1" t="s">
        <v>37</v>
      </c>
      <c r="F26" s="1" t="s">
        <v>46</v>
      </c>
      <c r="G26" s="1" t="s">
        <v>16</v>
      </c>
      <c r="H26">
        <v>3</v>
      </c>
      <c r="I26">
        <v>1499</v>
      </c>
      <c r="J26">
        <v>4497</v>
      </c>
      <c r="K26" s="1" t="s">
        <v>17</v>
      </c>
      <c r="L26" s="1" t="s">
        <v>29</v>
      </c>
    </row>
    <row r="27" spans="1:12" x14ac:dyDescent="0.3">
      <c r="A27" s="1" t="s">
        <v>145</v>
      </c>
      <c r="B27" s="2" t="s">
        <v>146</v>
      </c>
      <c r="C27" s="2" t="str">
        <f>TEXT(Raw_Data[[#This Row],[Order_Date]],"mmmm")</f>
        <v>October</v>
      </c>
      <c r="D27" s="1" t="s">
        <v>31</v>
      </c>
      <c r="E27" s="1" t="s">
        <v>50</v>
      </c>
      <c r="F27" s="1" t="s">
        <v>15</v>
      </c>
      <c r="G27" s="1" t="s">
        <v>16</v>
      </c>
      <c r="H27">
        <v>1</v>
      </c>
      <c r="I27">
        <v>899</v>
      </c>
      <c r="J27">
        <v>899</v>
      </c>
      <c r="K27" s="1" t="s">
        <v>44</v>
      </c>
      <c r="L27" s="1" t="s">
        <v>29</v>
      </c>
    </row>
    <row r="28" spans="1:12" x14ac:dyDescent="0.3">
      <c r="A28" s="1" t="s">
        <v>147</v>
      </c>
      <c r="B28" s="2" t="s">
        <v>111</v>
      </c>
      <c r="C28" s="2" t="str">
        <f>TEXT(Raw_Data[[#This Row],[Order_Date]],"mmmm")</f>
        <v>January</v>
      </c>
      <c r="D28" s="1" t="s">
        <v>31</v>
      </c>
      <c r="E28" s="1" t="s">
        <v>50</v>
      </c>
      <c r="F28" s="1" t="s">
        <v>34</v>
      </c>
      <c r="G28" s="1" t="s">
        <v>16</v>
      </c>
      <c r="H28">
        <v>2</v>
      </c>
      <c r="I28">
        <v>999</v>
      </c>
      <c r="J28">
        <v>1998</v>
      </c>
      <c r="K28" s="1" t="s">
        <v>23</v>
      </c>
      <c r="L28" s="1" t="s">
        <v>18</v>
      </c>
    </row>
    <row r="29" spans="1:12" x14ac:dyDescent="0.3">
      <c r="A29" s="1" t="s">
        <v>148</v>
      </c>
      <c r="B29" s="2" t="s">
        <v>149</v>
      </c>
      <c r="C29" s="2" t="str">
        <f>TEXT(Raw_Data[[#This Row],[Order_Date]],"mmmm")</f>
        <v>February</v>
      </c>
      <c r="D29" s="1" t="s">
        <v>25</v>
      </c>
      <c r="E29" s="1" t="s">
        <v>53</v>
      </c>
      <c r="F29" s="1" t="s">
        <v>38</v>
      </c>
      <c r="G29" s="1" t="s">
        <v>27</v>
      </c>
      <c r="H29">
        <v>4</v>
      </c>
      <c r="I29">
        <v>12499</v>
      </c>
      <c r="J29">
        <v>49996</v>
      </c>
      <c r="K29" s="1" t="s">
        <v>17</v>
      </c>
      <c r="L29" s="1" t="s">
        <v>47</v>
      </c>
    </row>
    <row r="30" spans="1:12" x14ac:dyDescent="0.3">
      <c r="A30" s="1" t="s">
        <v>150</v>
      </c>
      <c r="B30" s="2" t="s">
        <v>151</v>
      </c>
      <c r="C30" s="2" t="str">
        <f>TEXT(Raw_Data[[#This Row],[Order_Date]],"mmmm")</f>
        <v>May</v>
      </c>
      <c r="D30" s="1" t="s">
        <v>39</v>
      </c>
      <c r="E30" s="1" t="s">
        <v>56</v>
      </c>
      <c r="F30" s="1" t="s">
        <v>63</v>
      </c>
      <c r="G30" s="1" t="s">
        <v>27</v>
      </c>
      <c r="H30">
        <v>1</v>
      </c>
      <c r="I30">
        <v>1799</v>
      </c>
      <c r="J30">
        <v>1799</v>
      </c>
      <c r="K30" s="1" t="s">
        <v>28</v>
      </c>
      <c r="L30" s="1" t="s">
        <v>47</v>
      </c>
    </row>
    <row r="31" spans="1:12" x14ac:dyDescent="0.3">
      <c r="A31" s="1" t="s">
        <v>152</v>
      </c>
      <c r="B31" s="2" t="s">
        <v>153</v>
      </c>
      <c r="C31" s="2" t="str">
        <f>TEXT(Raw_Data[[#This Row],[Order_Date]],"mmmm")</f>
        <v>September</v>
      </c>
      <c r="D31" s="1" t="s">
        <v>19</v>
      </c>
      <c r="E31" s="1" t="s">
        <v>50</v>
      </c>
      <c r="F31" s="1" t="s">
        <v>41</v>
      </c>
      <c r="G31" s="1" t="s">
        <v>42</v>
      </c>
      <c r="H31">
        <v>2</v>
      </c>
      <c r="I31">
        <v>7499</v>
      </c>
      <c r="J31">
        <v>14998</v>
      </c>
      <c r="K31" s="1" t="s">
        <v>44</v>
      </c>
      <c r="L31" s="1" t="s">
        <v>18</v>
      </c>
    </row>
    <row r="32" spans="1:12" x14ac:dyDescent="0.3">
      <c r="A32" s="1" t="s">
        <v>154</v>
      </c>
      <c r="B32" s="2" t="s">
        <v>92</v>
      </c>
      <c r="C32" s="2" t="str">
        <f>TEXT(Raw_Data[[#This Row],[Order_Date]],"mmmm")</f>
        <v>June</v>
      </c>
      <c r="D32" s="1" t="s">
        <v>25</v>
      </c>
      <c r="E32" s="1" t="s">
        <v>58</v>
      </c>
      <c r="F32" s="1" t="s">
        <v>41</v>
      </c>
      <c r="G32" s="1" t="s">
        <v>42</v>
      </c>
      <c r="H32">
        <v>4</v>
      </c>
      <c r="I32">
        <v>7499</v>
      </c>
      <c r="J32">
        <v>29996</v>
      </c>
      <c r="K32" s="1" t="s">
        <v>17</v>
      </c>
      <c r="L32" s="1" t="s">
        <v>18</v>
      </c>
    </row>
    <row r="33" spans="1:12" x14ac:dyDescent="0.3">
      <c r="A33" s="1" t="s">
        <v>155</v>
      </c>
      <c r="B33" s="2" t="s">
        <v>156</v>
      </c>
      <c r="C33" s="2" t="str">
        <f>TEXT(Raw_Data[[#This Row],[Order_Date]],"mmmm")</f>
        <v>March</v>
      </c>
      <c r="D33" s="1" t="s">
        <v>13</v>
      </c>
      <c r="E33" s="1" t="s">
        <v>53</v>
      </c>
      <c r="F33" s="1" t="s">
        <v>63</v>
      </c>
      <c r="G33" s="1" t="s">
        <v>27</v>
      </c>
      <c r="H33">
        <v>1</v>
      </c>
      <c r="I33">
        <v>1799</v>
      </c>
      <c r="J33">
        <v>1799</v>
      </c>
      <c r="K33" s="1" t="s">
        <v>28</v>
      </c>
      <c r="L33" s="1" t="s">
        <v>18</v>
      </c>
    </row>
    <row r="34" spans="1:12" x14ac:dyDescent="0.3">
      <c r="A34" s="1" t="s">
        <v>157</v>
      </c>
      <c r="B34" s="2" t="s">
        <v>158</v>
      </c>
      <c r="C34" s="2" t="str">
        <f>TEXT(Raw_Data[[#This Row],[Order_Date]],"mmmm")</f>
        <v>July</v>
      </c>
      <c r="D34" s="1" t="s">
        <v>52</v>
      </c>
      <c r="E34" s="1" t="s">
        <v>50</v>
      </c>
      <c r="F34" s="1" t="s">
        <v>46</v>
      </c>
      <c r="G34" s="1" t="s">
        <v>16</v>
      </c>
      <c r="H34">
        <v>1</v>
      </c>
      <c r="I34">
        <v>1499</v>
      </c>
      <c r="J34">
        <v>1499</v>
      </c>
      <c r="K34" s="1" t="s">
        <v>54</v>
      </c>
      <c r="L34" s="1" t="s">
        <v>18</v>
      </c>
    </row>
    <row r="35" spans="1:12" x14ac:dyDescent="0.3">
      <c r="A35" s="1" t="s">
        <v>159</v>
      </c>
      <c r="B35" s="2" t="s">
        <v>160</v>
      </c>
      <c r="C35" s="2" t="str">
        <f>TEXT(Raw_Data[[#This Row],[Order_Date]],"mmmm")</f>
        <v>December</v>
      </c>
      <c r="D35" s="1" t="s">
        <v>31</v>
      </c>
      <c r="E35" s="1" t="s">
        <v>50</v>
      </c>
      <c r="F35" s="1" t="s">
        <v>26</v>
      </c>
      <c r="G35" s="1" t="s">
        <v>27</v>
      </c>
      <c r="H35">
        <v>3</v>
      </c>
      <c r="I35">
        <v>2199</v>
      </c>
      <c r="J35">
        <v>6597</v>
      </c>
      <c r="K35" s="1" t="s">
        <v>23</v>
      </c>
      <c r="L35" s="1" t="s">
        <v>161</v>
      </c>
    </row>
    <row r="36" spans="1:12" x14ac:dyDescent="0.3">
      <c r="A36" s="1" t="s">
        <v>162</v>
      </c>
      <c r="B36" s="2" t="s">
        <v>163</v>
      </c>
      <c r="C36" s="2" t="str">
        <f>TEXT(Raw_Data[[#This Row],[Order_Date]],"mmmm")</f>
        <v>December</v>
      </c>
      <c r="D36" s="1" t="s">
        <v>13</v>
      </c>
      <c r="E36" s="1" t="s">
        <v>56</v>
      </c>
      <c r="F36" s="1" t="s">
        <v>63</v>
      </c>
      <c r="G36" s="1" t="s">
        <v>27</v>
      </c>
      <c r="H36">
        <v>5</v>
      </c>
      <c r="I36">
        <v>1799</v>
      </c>
      <c r="J36">
        <v>8995</v>
      </c>
      <c r="K36" s="1" t="s">
        <v>23</v>
      </c>
      <c r="L36" s="1" t="s">
        <v>47</v>
      </c>
    </row>
    <row r="37" spans="1:12" x14ac:dyDescent="0.3">
      <c r="A37" s="1" t="s">
        <v>164</v>
      </c>
      <c r="B37" s="2" t="s">
        <v>165</v>
      </c>
      <c r="C37" s="2" t="str">
        <f>TEXT(Raw_Data[[#This Row],[Order_Date]],"mmmm")</f>
        <v>May</v>
      </c>
      <c r="D37" s="1" t="s">
        <v>49</v>
      </c>
      <c r="E37" s="1" t="s">
        <v>58</v>
      </c>
      <c r="F37" s="1" t="s">
        <v>26</v>
      </c>
      <c r="G37" s="1" t="s">
        <v>27</v>
      </c>
      <c r="H37">
        <v>2</v>
      </c>
      <c r="I37">
        <v>2199</v>
      </c>
      <c r="J37">
        <v>4398</v>
      </c>
      <c r="K37" s="1" t="s">
        <v>23</v>
      </c>
      <c r="L37" s="1" t="s">
        <v>18</v>
      </c>
    </row>
    <row r="38" spans="1:12" x14ac:dyDescent="0.3">
      <c r="A38" s="1" t="s">
        <v>166</v>
      </c>
      <c r="B38" s="2" t="s">
        <v>129</v>
      </c>
      <c r="C38" s="2" t="str">
        <f>TEXT(Raw_Data[[#This Row],[Order_Date]],"mmmm")</f>
        <v>October</v>
      </c>
      <c r="D38" s="1" t="s">
        <v>31</v>
      </c>
      <c r="E38" s="1" t="s">
        <v>50</v>
      </c>
      <c r="F38" s="1" t="s">
        <v>63</v>
      </c>
      <c r="G38" s="1" t="s">
        <v>27</v>
      </c>
      <c r="H38">
        <v>5</v>
      </c>
      <c r="I38">
        <v>1799</v>
      </c>
      <c r="J38">
        <v>8995</v>
      </c>
      <c r="K38" s="1" t="s">
        <v>23</v>
      </c>
      <c r="L38" s="1" t="s">
        <v>29</v>
      </c>
    </row>
    <row r="39" spans="1:12" x14ac:dyDescent="0.3">
      <c r="A39" s="1" t="s">
        <v>167</v>
      </c>
      <c r="B39" s="2" t="s">
        <v>168</v>
      </c>
      <c r="C39" s="2" t="str">
        <f>TEXT(Raw_Data[[#This Row],[Order_Date]],"mmmm")</f>
        <v>May</v>
      </c>
      <c r="D39" s="1" t="s">
        <v>52</v>
      </c>
      <c r="E39" s="1" t="s">
        <v>50</v>
      </c>
      <c r="F39" s="1" t="s">
        <v>63</v>
      </c>
      <c r="G39" s="1" t="s">
        <v>27</v>
      </c>
      <c r="H39">
        <v>4</v>
      </c>
      <c r="I39">
        <v>1799</v>
      </c>
      <c r="J39">
        <v>7196</v>
      </c>
      <c r="K39" s="1" t="s">
        <v>23</v>
      </c>
      <c r="L39" s="1" t="s">
        <v>47</v>
      </c>
    </row>
    <row r="40" spans="1:12" x14ac:dyDescent="0.3">
      <c r="A40" s="1" t="s">
        <v>169</v>
      </c>
      <c r="B40" s="2" t="s">
        <v>67</v>
      </c>
      <c r="C40" s="2" t="str">
        <f>TEXT(Raw_Data[[#This Row],[Order_Date]],"mmmm")</f>
        <v>June</v>
      </c>
      <c r="D40" s="1" t="s">
        <v>31</v>
      </c>
      <c r="E40" s="1" t="s">
        <v>20</v>
      </c>
      <c r="F40" s="1" t="s">
        <v>65</v>
      </c>
      <c r="G40" s="1" t="s">
        <v>16</v>
      </c>
      <c r="H40">
        <v>4</v>
      </c>
      <c r="I40">
        <v>599</v>
      </c>
      <c r="J40">
        <v>2396</v>
      </c>
      <c r="K40" s="1" t="s">
        <v>23</v>
      </c>
      <c r="L40" s="1" t="s">
        <v>18</v>
      </c>
    </row>
    <row r="41" spans="1:12" x14ac:dyDescent="0.3">
      <c r="A41" s="1" t="s">
        <v>170</v>
      </c>
      <c r="B41" s="2" t="s">
        <v>171</v>
      </c>
      <c r="C41" s="2" t="str">
        <f>TEXT(Raw_Data[[#This Row],[Order_Date]],"mmmm")</f>
        <v>January</v>
      </c>
      <c r="D41" s="1" t="s">
        <v>31</v>
      </c>
      <c r="E41" s="1" t="s">
        <v>20</v>
      </c>
      <c r="F41" s="1" t="s">
        <v>41</v>
      </c>
      <c r="G41" s="1" t="s">
        <v>42</v>
      </c>
      <c r="H41">
        <v>5</v>
      </c>
      <c r="I41">
        <v>7499</v>
      </c>
      <c r="J41">
        <v>37495</v>
      </c>
      <c r="K41" s="1" t="s">
        <v>17</v>
      </c>
      <c r="L41" s="1" t="s">
        <v>29</v>
      </c>
    </row>
    <row r="42" spans="1:12" x14ac:dyDescent="0.3">
      <c r="A42" s="1" t="s">
        <v>172</v>
      </c>
      <c r="B42" s="2" t="s">
        <v>93</v>
      </c>
      <c r="C42" s="2" t="str">
        <f>TEXT(Raw_Data[[#This Row],[Order_Date]],"mmmm")</f>
        <v>May</v>
      </c>
      <c r="D42" s="1" t="s">
        <v>49</v>
      </c>
      <c r="E42" s="1" t="s">
        <v>56</v>
      </c>
      <c r="F42" s="1" t="s">
        <v>21</v>
      </c>
      <c r="G42" s="1" t="s">
        <v>22</v>
      </c>
      <c r="H42">
        <v>4</v>
      </c>
      <c r="I42">
        <v>249</v>
      </c>
      <c r="J42">
        <v>996</v>
      </c>
      <c r="K42" s="1" t="s">
        <v>44</v>
      </c>
      <c r="L42" s="1" t="s">
        <v>18</v>
      </c>
    </row>
    <row r="43" spans="1:12" x14ac:dyDescent="0.3">
      <c r="A43" s="1" t="s">
        <v>173</v>
      </c>
      <c r="B43" s="2" t="s">
        <v>158</v>
      </c>
      <c r="C43" s="2" t="str">
        <f>TEXT(Raw_Data[[#This Row],[Order_Date]],"mmmm")</f>
        <v>July</v>
      </c>
      <c r="D43" s="1" t="s">
        <v>36</v>
      </c>
      <c r="E43" s="1" t="s">
        <v>33</v>
      </c>
      <c r="F43" s="1" t="s">
        <v>80</v>
      </c>
      <c r="G43" s="1" t="s">
        <v>81</v>
      </c>
      <c r="H43">
        <v>3</v>
      </c>
      <c r="I43">
        <v>1299</v>
      </c>
      <c r="J43">
        <v>3897</v>
      </c>
      <c r="K43" s="1" t="s">
        <v>23</v>
      </c>
      <c r="L43" s="1" t="s">
        <v>18</v>
      </c>
    </row>
    <row r="44" spans="1:12" x14ac:dyDescent="0.3">
      <c r="A44" s="1" t="s">
        <v>174</v>
      </c>
      <c r="B44" s="2" t="s">
        <v>175</v>
      </c>
      <c r="C44" s="2" t="str">
        <f>TEXT(Raw_Data[[#This Row],[Order_Date]],"mmmm")</f>
        <v>December</v>
      </c>
      <c r="D44" s="1" t="s">
        <v>52</v>
      </c>
      <c r="E44" s="1" t="s">
        <v>37</v>
      </c>
      <c r="F44" s="1" t="s">
        <v>34</v>
      </c>
      <c r="G44" s="1" t="s">
        <v>16</v>
      </c>
      <c r="H44">
        <v>4</v>
      </c>
      <c r="I44">
        <v>999</v>
      </c>
      <c r="J44">
        <v>3996</v>
      </c>
      <c r="K44" s="1" t="s">
        <v>44</v>
      </c>
      <c r="L44" s="1" t="s">
        <v>47</v>
      </c>
    </row>
    <row r="45" spans="1:12" x14ac:dyDescent="0.3">
      <c r="A45" s="1" t="s">
        <v>176</v>
      </c>
      <c r="B45" s="2" t="s">
        <v>177</v>
      </c>
      <c r="C45" s="2" t="str">
        <f>TEXT(Raw_Data[[#This Row],[Order_Date]],"mmmm")</f>
        <v>February</v>
      </c>
      <c r="D45" s="1" t="s">
        <v>36</v>
      </c>
      <c r="E45" s="1" t="s">
        <v>37</v>
      </c>
      <c r="F45" s="1" t="s">
        <v>65</v>
      </c>
      <c r="G45" s="1" t="s">
        <v>16</v>
      </c>
      <c r="H45">
        <v>4</v>
      </c>
      <c r="I45">
        <v>599</v>
      </c>
      <c r="J45">
        <v>2396</v>
      </c>
      <c r="K45" s="1" t="s">
        <v>54</v>
      </c>
      <c r="L45" s="1" t="s">
        <v>18</v>
      </c>
    </row>
    <row r="46" spans="1:12" x14ac:dyDescent="0.3">
      <c r="A46" s="1" t="s">
        <v>178</v>
      </c>
      <c r="B46" s="2" t="s">
        <v>179</v>
      </c>
      <c r="C46" s="2" t="str">
        <f>TEXT(Raw_Data[[#This Row],[Order_Date]],"mmmm")</f>
        <v>January</v>
      </c>
      <c r="D46" s="1" t="s">
        <v>52</v>
      </c>
      <c r="E46" s="1" t="s">
        <v>56</v>
      </c>
      <c r="F46" s="1" t="s">
        <v>38</v>
      </c>
      <c r="G46" s="1" t="s">
        <v>27</v>
      </c>
      <c r="H46">
        <v>5</v>
      </c>
      <c r="I46">
        <v>12499</v>
      </c>
      <c r="J46">
        <v>62495</v>
      </c>
      <c r="K46" s="1" t="s">
        <v>23</v>
      </c>
      <c r="L46" s="1" t="s">
        <v>18</v>
      </c>
    </row>
    <row r="47" spans="1:12" x14ac:dyDescent="0.3">
      <c r="A47" s="1" t="s">
        <v>101</v>
      </c>
      <c r="B47" s="2" t="s">
        <v>82</v>
      </c>
      <c r="C47" s="2" t="str">
        <f>TEXT(Raw_Data[[#This Row],[Order_Date]],"mmmm")</f>
        <v>October</v>
      </c>
      <c r="D47" s="1" t="s">
        <v>36</v>
      </c>
      <c r="E47" s="1" t="s">
        <v>50</v>
      </c>
      <c r="F47" s="1" t="s">
        <v>26</v>
      </c>
      <c r="G47" s="1" t="s">
        <v>27</v>
      </c>
      <c r="H47">
        <v>4</v>
      </c>
      <c r="I47">
        <v>2199</v>
      </c>
      <c r="J47">
        <v>8796</v>
      </c>
      <c r="K47" s="1" t="s">
        <v>44</v>
      </c>
      <c r="L47" s="1" t="s">
        <v>29</v>
      </c>
    </row>
    <row r="48" spans="1:12" x14ac:dyDescent="0.3">
      <c r="A48" s="1" t="s">
        <v>180</v>
      </c>
      <c r="B48" s="2" t="s">
        <v>84</v>
      </c>
      <c r="C48" s="2" t="str">
        <f>TEXT(Raw_Data[[#This Row],[Order_Date]],"mmmm")</f>
        <v>March</v>
      </c>
      <c r="D48" s="1" t="s">
        <v>31</v>
      </c>
      <c r="E48" s="1" t="s">
        <v>50</v>
      </c>
      <c r="F48" s="1" t="s">
        <v>63</v>
      </c>
      <c r="G48" s="1" t="s">
        <v>27</v>
      </c>
      <c r="H48">
        <v>5</v>
      </c>
      <c r="I48">
        <v>1799</v>
      </c>
      <c r="J48">
        <v>8995</v>
      </c>
      <c r="K48" s="1" t="s">
        <v>44</v>
      </c>
      <c r="L48" s="1" t="s">
        <v>18</v>
      </c>
    </row>
    <row r="49" spans="1:12" x14ac:dyDescent="0.3">
      <c r="A49" s="1" t="s">
        <v>181</v>
      </c>
      <c r="B49" s="2" t="s">
        <v>182</v>
      </c>
      <c r="C49" s="2" t="str">
        <f>TEXT(Raw_Data[[#This Row],[Order_Date]],"mmmm")</f>
        <v>May</v>
      </c>
      <c r="D49" s="1" t="s">
        <v>49</v>
      </c>
      <c r="E49" s="1" t="s">
        <v>37</v>
      </c>
      <c r="F49" s="1" t="s">
        <v>65</v>
      </c>
      <c r="G49" s="1" t="s">
        <v>16</v>
      </c>
      <c r="H49">
        <v>5</v>
      </c>
      <c r="I49">
        <v>599</v>
      </c>
      <c r="J49">
        <v>2995</v>
      </c>
      <c r="K49" s="1" t="s">
        <v>28</v>
      </c>
      <c r="L49" s="1" t="s">
        <v>18</v>
      </c>
    </row>
    <row r="50" spans="1:12" x14ac:dyDescent="0.3">
      <c r="A50" s="1" t="s">
        <v>183</v>
      </c>
      <c r="B50" s="2" t="s">
        <v>103</v>
      </c>
      <c r="C50" s="2" t="str">
        <f>TEXT(Raw_Data[[#This Row],[Order_Date]],"mmmm")</f>
        <v>February</v>
      </c>
      <c r="D50" s="1" t="s">
        <v>13</v>
      </c>
      <c r="E50" s="1" t="s">
        <v>58</v>
      </c>
      <c r="F50" s="1" t="s">
        <v>21</v>
      </c>
      <c r="G50" s="1" t="s">
        <v>22</v>
      </c>
      <c r="H50">
        <v>4</v>
      </c>
      <c r="I50">
        <v>249</v>
      </c>
      <c r="J50">
        <v>996</v>
      </c>
      <c r="K50" s="1" t="s">
        <v>44</v>
      </c>
      <c r="L50" s="1" t="s">
        <v>18</v>
      </c>
    </row>
    <row r="51" spans="1:12" x14ac:dyDescent="0.3">
      <c r="A51" s="1" t="s">
        <v>184</v>
      </c>
      <c r="B51" s="2" t="s">
        <v>185</v>
      </c>
      <c r="C51" s="2" t="str">
        <f>TEXT(Raw_Data[[#This Row],[Order_Date]],"mmmm")</f>
        <v>May</v>
      </c>
      <c r="D51" s="1" t="s">
        <v>31</v>
      </c>
      <c r="E51" s="1" t="s">
        <v>56</v>
      </c>
      <c r="F51" s="1" t="s">
        <v>46</v>
      </c>
      <c r="G51" s="1" t="s">
        <v>16</v>
      </c>
      <c r="H51">
        <v>4</v>
      </c>
      <c r="I51">
        <v>1499</v>
      </c>
      <c r="J51">
        <v>5996</v>
      </c>
      <c r="K51" s="1" t="s">
        <v>44</v>
      </c>
      <c r="L51" s="1" t="s">
        <v>29</v>
      </c>
    </row>
    <row r="52" spans="1:12" x14ac:dyDescent="0.3">
      <c r="A52" s="1" t="s">
        <v>186</v>
      </c>
      <c r="B52" s="2" t="s">
        <v>187</v>
      </c>
      <c r="C52" s="2" t="str">
        <f>TEXT(Raw_Data[[#This Row],[Order_Date]],"mmmm")</f>
        <v>October</v>
      </c>
      <c r="D52" s="1" t="s">
        <v>49</v>
      </c>
      <c r="E52" s="1" t="s">
        <v>56</v>
      </c>
      <c r="F52" s="1" t="s">
        <v>26</v>
      </c>
      <c r="G52" s="1" t="s">
        <v>27</v>
      </c>
      <c r="H52">
        <v>4</v>
      </c>
      <c r="I52">
        <v>2199</v>
      </c>
      <c r="J52">
        <v>8796</v>
      </c>
      <c r="K52" s="1" t="s">
        <v>17</v>
      </c>
      <c r="L52" s="1" t="s">
        <v>47</v>
      </c>
    </row>
    <row r="53" spans="1:12" x14ac:dyDescent="0.3">
      <c r="A53" s="1" t="s">
        <v>188</v>
      </c>
      <c r="B53" s="2" t="s">
        <v>189</v>
      </c>
      <c r="C53" s="2" t="str">
        <f>TEXT(Raw_Data[[#This Row],[Order_Date]],"mmmm")</f>
        <v>February</v>
      </c>
      <c r="D53" s="1" t="s">
        <v>31</v>
      </c>
      <c r="E53" s="1" t="s">
        <v>56</v>
      </c>
      <c r="F53" s="1" t="s">
        <v>21</v>
      </c>
      <c r="G53" s="1" t="s">
        <v>22</v>
      </c>
      <c r="H53">
        <v>2</v>
      </c>
      <c r="I53">
        <v>249</v>
      </c>
      <c r="J53">
        <v>498</v>
      </c>
      <c r="K53" s="1" t="s">
        <v>54</v>
      </c>
      <c r="L53" s="1" t="s">
        <v>47</v>
      </c>
    </row>
    <row r="54" spans="1:12" x14ac:dyDescent="0.3">
      <c r="A54" s="1" t="s">
        <v>190</v>
      </c>
      <c r="B54" s="2" t="s">
        <v>191</v>
      </c>
      <c r="C54" s="2" t="str">
        <f>TEXT(Raw_Data[[#This Row],[Order_Date]],"mmmm")</f>
        <v>May</v>
      </c>
      <c r="D54" s="1" t="s">
        <v>31</v>
      </c>
      <c r="E54" s="1" t="s">
        <v>50</v>
      </c>
      <c r="F54" s="1" t="s">
        <v>63</v>
      </c>
      <c r="G54" s="1" t="s">
        <v>27</v>
      </c>
      <c r="H54">
        <v>1</v>
      </c>
      <c r="I54">
        <v>1799</v>
      </c>
      <c r="J54">
        <v>1799</v>
      </c>
      <c r="K54" s="1" t="s">
        <v>17</v>
      </c>
      <c r="L54" s="1" t="s">
        <v>29</v>
      </c>
    </row>
    <row r="55" spans="1:12" x14ac:dyDescent="0.3">
      <c r="A55" s="1" t="s">
        <v>192</v>
      </c>
      <c r="B55" s="2" t="s">
        <v>193</v>
      </c>
      <c r="C55" s="2" t="str">
        <f>TEXT(Raw_Data[[#This Row],[Order_Date]],"mmmm")</f>
        <v>June</v>
      </c>
      <c r="D55" s="1" t="s">
        <v>36</v>
      </c>
      <c r="E55" s="1" t="s">
        <v>56</v>
      </c>
      <c r="F55" s="1" t="s">
        <v>21</v>
      </c>
      <c r="G55" s="1" t="s">
        <v>22</v>
      </c>
      <c r="H55">
        <v>4</v>
      </c>
      <c r="I55">
        <v>249</v>
      </c>
      <c r="J55">
        <v>996</v>
      </c>
      <c r="K55" s="1" t="s">
        <v>44</v>
      </c>
      <c r="L55" s="1" t="s">
        <v>18</v>
      </c>
    </row>
    <row r="56" spans="1:12" x14ac:dyDescent="0.3">
      <c r="A56" s="1" t="s">
        <v>194</v>
      </c>
      <c r="B56" s="2" t="s">
        <v>195</v>
      </c>
      <c r="C56" s="2" t="str">
        <f>TEXT(Raw_Data[[#This Row],[Order_Date]],"mmmm")</f>
        <v>October</v>
      </c>
      <c r="D56" s="1" t="s">
        <v>19</v>
      </c>
      <c r="E56" s="1" t="s">
        <v>14</v>
      </c>
      <c r="F56" s="1" t="s">
        <v>26</v>
      </c>
      <c r="G56" s="1" t="s">
        <v>27</v>
      </c>
      <c r="H56">
        <v>2</v>
      </c>
      <c r="I56">
        <v>2199</v>
      </c>
      <c r="J56">
        <v>4398</v>
      </c>
      <c r="K56" s="1" t="s">
        <v>44</v>
      </c>
      <c r="L56" s="1" t="s">
        <v>18</v>
      </c>
    </row>
    <row r="57" spans="1:12" x14ac:dyDescent="0.3">
      <c r="A57" s="1" t="s">
        <v>196</v>
      </c>
      <c r="B57" s="2" t="s">
        <v>160</v>
      </c>
      <c r="C57" s="2" t="str">
        <f>TEXT(Raw_Data[[#This Row],[Order_Date]],"mmmm")</f>
        <v>December</v>
      </c>
      <c r="D57" s="1" t="s">
        <v>19</v>
      </c>
      <c r="E57" s="1" t="s">
        <v>56</v>
      </c>
      <c r="F57" s="1" t="s">
        <v>34</v>
      </c>
      <c r="G57" s="1" t="s">
        <v>16</v>
      </c>
      <c r="H57">
        <v>4</v>
      </c>
      <c r="I57">
        <v>999</v>
      </c>
      <c r="J57">
        <v>3996</v>
      </c>
      <c r="K57" s="1" t="s">
        <v>17</v>
      </c>
      <c r="L57" s="1" t="s">
        <v>29</v>
      </c>
    </row>
    <row r="58" spans="1:12" x14ac:dyDescent="0.3">
      <c r="A58" s="1" t="s">
        <v>197</v>
      </c>
      <c r="B58" s="2" t="s">
        <v>198</v>
      </c>
      <c r="C58" s="2" t="str">
        <f>TEXT(Raw_Data[[#This Row],[Order_Date]],"mmmm")</f>
        <v>September</v>
      </c>
      <c r="D58" s="1" t="s">
        <v>36</v>
      </c>
      <c r="E58" s="1" t="s">
        <v>58</v>
      </c>
      <c r="F58" s="1" t="s">
        <v>65</v>
      </c>
      <c r="G58" s="1" t="s">
        <v>16</v>
      </c>
      <c r="H58">
        <v>2</v>
      </c>
      <c r="I58">
        <v>599</v>
      </c>
      <c r="J58">
        <v>1198</v>
      </c>
      <c r="K58" s="1" t="s">
        <v>44</v>
      </c>
      <c r="L58" s="1" t="s">
        <v>18</v>
      </c>
    </row>
    <row r="59" spans="1:12" x14ac:dyDescent="0.3">
      <c r="A59" s="1" t="s">
        <v>199</v>
      </c>
      <c r="B59" s="2" t="s">
        <v>200</v>
      </c>
      <c r="C59" s="2" t="str">
        <f>TEXT(Raw_Data[[#This Row],[Order_Date]],"mmmm")</f>
        <v>January</v>
      </c>
      <c r="D59" s="1" t="s">
        <v>49</v>
      </c>
      <c r="E59" s="1" t="s">
        <v>56</v>
      </c>
      <c r="F59" s="1" t="s">
        <v>21</v>
      </c>
      <c r="G59" s="1" t="s">
        <v>22</v>
      </c>
      <c r="H59">
        <v>4</v>
      </c>
      <c r="I59">
        <v>249</v>
      </c>
      <c r="J59">
        <v>996</v>
      </c>
      <c r="K59" s="1" t="s">
        <v>17</v>
      </c>
      <c r="L59" s="1" t="s">
        <v>18</v>
      </c>
    </row>
    <row r="60" spans="1:12" x14ac:dyDescent="0.3">
      <c r="A60" s="1" t="s">
        <v>201</v>
      </c>
      <c r="B60" s="2" t="s">
        <v>202</v>
      </c>
      <c r="C60" s="2" t="str">
        <f>TEXT(Raw_Data[[#This Row],[Order_Date]],"mmmm")</f>
        <v>June</v>
      </c>
      <c r="D60" s="1" t="s">
        <v>19</v>
      </c>
      <c r="E60" s="1" t="s">
        <v>58</v>
      </c>
      <c r="F60" s="1" t="s">
        <v>80</v>
      </c>
      <c r="G60" s="1" t="s">
        <v>81</v>
      </c>
      <c r="H60">
        <v>3</v>
      </c>
      <c r="I60">
        <v>1299</v>
      </c>
      <c r="J60">
        <v>3897</v>
      </c>
      <c r="K60" s="1" t="s">
        <v>54</v>
      </c>
      <c r="L60" s="1" t="s">
        <v>47</v>
      </c>
    </row>
    <row r="61" spans="1:12" x14ac:dyDescent="0.3">
      <c r="A61" s="1" t="s">
        <v>203</v>
      </c>
      <c r="B61" s="2" t="s">
        <v>204</v>
      </c>
      <c r="C61" s="2" t="str">
        <f>TEXT(Raw_Data[[#This Row],[Order_Date]],"mmmm")</f>
        <v>November</v>
      </c>
      <c r="D61" s="1" t="s">
        <v>52</v>
      </c>
      <c r="E61" s="1" t="s">
        <v>20</v>
      </c>
      <c r="F61" s="1" t="s">
        <v>38</v>
      </c>
      <c r="G61" s="1" t="s">
        <v>27</v>
      </c>
      <c r="H61">
        <v>3</v>
      </c>
      <c r="I61">
        <v>12499</v>
      </c>
      <c r="J61">
        <v>37497</v>
      </c>
      <c r="K61" s="1" t="s">
        <v>28</v>
      </c>
      <c r="L61" s="1" t="s">
        <v>18</v>
      </c>
    </row>
    <row r="62" spans="1:12" x14ac:dyDescent="0.3">
      <c r="A62" s="1" t="s">
        <v>205</v>
      </c>
      <c r="B62" s="2" t="s">
        <v>206</v>
      </c>
      <c r="C62" s="2" t="str">
        <f>TEXT(Raw_Data[[#This Row],[Order_Date]],"mmmm")</f>
        <v>April</v>
      </c>
      <c r="D62" s="1" t="s">
        <v>39</v>
      </c>
      <c r="E62" s="1" t="s">
        <v>56</v>
      </c>
      <c r="F62" s="1" t="s">
        <v>26</v>
      </c>
      <c r="G62" s="1" t="s">
        <v>27</v>
      </c>
      <c r="H62">
        <v>3</v>
      </c>
      <c r="I62">
        <v>2199</v>
      </c>
      <c r="J62">
        <v>6597</v>
      </c>
      <c r="K62" s="1" t="s">
        <v>23</v>
      </c>
      <c r="L62" s="1" t="s">
        <v>18</v>
      </c>
    </row>
    <row r="63" spans="1:12" x14ac:dyDescent="0.3">
      <c r="A63" s="1" t="s">
        <v>207</v>
      </c>
      <c r="B63" s="2" t="s">
        <v>175</v>
      </c>
      <c r="C63" s="2" t="str">
        <f>TEXT(Raw_Data[[#This Row],[Order_Date]],"mmmm")</f>
        <v>December</v>
      </c>
      <c r="D63" s="1" t="s">
        <v>31</v>
      </c>
      <c r="E63" s="1" t="s">
        <v>20</v>
      </c>
      <c r="F63" s="1" t="s">
        <v>80</v>
      </c>
      <c r="G63" s="1" t="s">
        <v>81</v>
      </c>
      <c r="H63">
        <v>2</v>
      </c>
      <c r="I63">
        <v>1299</v>
      </c>
      <c r="J63">
        <v>2598</v>
      </c>
      <c r="K63" s="1" t="s">
        <v>23</v>
      </c>
      <c r="L63" s="1" t="s">
        <v>18</v>
      </c>
    </row>
    <row r="64" spans="1:12" x14ac:dyDescent="0.3">
      <c r="A64" s="1" t="s">
        <v>208</v>
      </c>
      <c r="B64" s="2" t="s">
        <v>35</v>
      </c>
      <c r="C64" s="2" t="str">
        <f>TEXT(Raw_Data[[#This Row],[Order_Date]],"mmmm")</f>
        <v>July</v>
      </c>
      <c r="D64" s="1" t="s">
        <v>36</v>
      </c>
      <c r="E64" s="1" t="s">
        <v>56</v>
      </c>
      <c r="F64" s="1" t="s">
        <v>65</v>
      </c>
      <c r="G64" s="1" t="s">
        <v>16</v>
      </c>
      <c r="H64">
        <v>3</v>
      </c>
      <c r="I64">
        <v>599</v>
      </c>
      <c r="J64">
        <v>1797</v>
      </c>
      <c r="K64" s="1" t="s">
        <v>17</v>
      </c>
      <c r="L64" s="1" t="s">
        <v>18</v>
      </c>
    </row>
    <row r="65" spans="1:12" x14ac:dyDescent="0.3">
      <c r="A65" s="1" t="s">
        <v>209</v>
      </c>
      <c r="B65" s="2" t="s">
        <v>210</v>
      </c>
      <c r="C65" s="2" t="str">
        <f>TEXT(Raw_Data[[#This Row],[Order_Date]],"mmmm")</f>
        <v>October</v>
      </c>
      <c r="D65" s="1" t="s">
        <v>49</v>
      </c>
      <c r="E65" s="1" t="s">
        <v>53</v>
      </c>
      <c r="F65" s="1" t="s">
        <v>21</v>
      </c>
      <c r="G65" s="1" t="s">
        <v>22</v>
      </c>
      <c r="H65">
        <v>4</v>
      </c>
      <c r="I65">
        <v>249</v>
      </c>
      <c r="J65">
        <v>996</v>
      </c>
      <c r="K65" s="1" t="s">
        <v>17</v>
      </c>
      <c r="L65" s="1" t="s">
        <v>18</v>
      </c>
    </row>
    <row r="66" spans="1:12" x14ac:dyDescent="0.3">
      <c r="A66" s="1" t="s">
        <v>211</v>
      </c>
      <c r="B66" s="2" t="s">
        <v>212</v>
      </c>
      <c r="C66" s="2" t="str">
        <f>TEXT(Raw_Data[[#This Row],[Order_Date]],"mmmm")</f>
        <v>November</v>
      </c>
      <c r="D66" s="1" t="s">
        <v>13</v>
      </c>
      <c r="E66" s="1" t="s">
        <v>50</v>
      </c>
      <c r="F66" s="1" t="s">
        <v>41</v>
      </c>
      <c r="G66" s="1" t="s">
        <v>42</v>
      </c>
      <c r="H66">
        <v>4</v>
      </c>
      <c r="I66">
        <v>7499</v>
      </c>
      <c r="J66">
        <v>29996</v>
      </c>
      <c r="K66" s="1" t="s">
        <v>28</v>
      </c>
      <c r="L66" s="1" t="s">
        <v>18</v>
      </c>
    </row>
    <row r="67" spans="1:12" x14ac:dyDescent="0.3">
      <c r="A67" s="1" t="s">
        <v>213</v>
      </c>
      <c r="B67" s="2" t="s">
        <v>214</v>
      </c>
      <c r="C67" s="2" t="str">
        <f>TEXT(Raw_Data[[#This Row],[Order_Date]],"mmmm")</f>
        <v>November</v>
      </c>
      <c r="D67" s="1" t="s">
        <v>31</v>
      </c>
      <c r="E67" s="1" t="s">
        <v>50</v>
      </c>
      <c r="F67" s="1" t="s">
        <v>26</v>
      </c>
      <c r="G67" s="1" t="s">
        <v>27</v>
      </c>
      <c r="H67">
        <v>4</v>
      </c>
      <c r="I67">
        <v>2199</v>
      </c>
      <c r="J67">
        <v>8796</v>
      </c>
      <c r="K67" s="1" t="s">
        <v>54</v>
      </c>
      <c r="L67" s="1" t="s">
        <v>18</v>
      </c>
    </row>
    <row r="68" spans="1:12" x14ac:dyDescent="0.3">
      <c r="A68" s="1" t="s">
        <v>215</v>
      </c>
      <c r="B68" s="2" t="s">
        <v>216</v>
      </c>
      <c r="C68" s="2" t="str">
        <f>TEXT(Raw_Data[[#This Row],[Order_Date]],"mmmm")</f>
        <v>December</v>
      </c>
      <c r="D68" s="1" t="s">
        <v>49</v>
      </c>
      <c r="E68" s="1" t="s">
        <v>58</v>
      </c>
      <c r="F68" s="1" t="s">
        <v>80</v>
      </c>
      <c r="G68" s="1" t="s">
        <v>81</v>
      </c>
      <c r="H68">
        <v>3</v>
      </c>
      <c r="I68">
        <v>1299</v>
      </c>
      <c r="J68">
        <v>3897</v>
      </c>
      <c r="K68" s="1" t="s">
        <v>44</v>
      </c>
      <c r="L68" s="1" t="s">
        <v>18</v>
      </c>
    </row>
    <row r="69" spans="1:12" x14ac:dyDescent="0.3">
      <c r="A69" s="1" t="s">
        <v>217</v>
      </c>
      <c r="B69" s="2" t="s">
        <v>218</v>
      </c>
      <c r="C69" s="2" t="str">
        <f>TEXT(Raw_Data[[#This Row],[Order_Date]],"mmmm")</f>
        <v>November</v>
      </c>
      <c r="D69" s="1" t="s">
        <v>19</v>
      </c>
      <c r="E69" s="1" t="s">
        <v>37</v>
      </c>
      <c r="F69" s="1" t="s">
        <v>41</v>
      </c>
      <c r="G69" s="1" t="s">
        <v>42</v>
      </c>
      <c r="H69">
        <v>3</v>
      </c>
      <c r="I69">
        <v>7499</v>
      </c>
      <c r="J69">
        <v>22497</v>
      </c>
      <c r="K69" s="1" t="s">
        <v>44</v>
      </c>
      <c r="L69" s="1" t="s">
        <v>18</v>
      </c>
    </row>
    <row r="70" spans="1:12" hidden="1" x14ac:dyDescent="0.3">
      <c r="A70" s="1" t="s">
        <v>219</v>
      </c>
      <c r="B70" s="2" t="s">
        <v>141</v>
      </c>
      <c r="C70" s="2" t="str">
        <f>TEXT(Raw_Data[[#This Row],[Order_Date]],"mmmm")</f>
        <v>September</v>
      </c>
      <c r="D70" s="1" t="s">
        <v>39</v>
      </c>
      <c r="E70" s="1" t="s">
        <v>14</v>
      </c>
      <c r="F70" s="1" t="s">
        <v>26</v>
      </c>
      <c r="G70" s="1" t="s">
        <v>27</v>
      </c>
      <c r="H70">
        <v>4</v>
      </c>
      <c r="I70">
        <v>2199</v>
      </c>
      <c r="J70">
        <v>8796</v>
      </c>
      <c r="K70" s="1"/>
      <c r="L70" s="1" t="s">
        <v>47</v>
      </c>
    </row>
    <row r="71" spans="1:12" x14ac:dyDescent="0.3">
      <c r="A71" s="1" t="s">
        <v>220</v>
      </c>
      <c r="B71" s="2" t="s">
        <v>221</v>
      </c>
      <c r="C71" s="2" t="str">
        <f>TEXT(Raw_Data[[#This Row],[Order_Date]],"mmmm")</f>
        <v>June</v>
      </c>
      <c r="D71" s="1" t="s">
        <v>31</v>
      </c>
      <c r="E71" s="1" t="s">
        <v>20</v>
      </c>
      <c r="F71" s="1" t="s">
        <v>34</v>
      </c>
      <c r="G71" s="1" t="s">
        <v>16</v>
      </c>
      <c r="H71">
        <v>5</v>
      </c>
      <c r="I71">
        <v>999</v>
      </c>
      <c r="J71">
        <v>4995</v>
      </c>
      <c r="K71" s="1" t="s">
        <v>44</v>
      </c>
      <c r="L71" s="1" t="s">
        <v>18</v>
      </c>
    </row>
    <row r="72" spans="1:12" x14ac:dyDescent="0.3">
      <c r="A72" s="1" t="s">
        <v>222</v>
      </c>
      <c r="B72" s="2" t="s">
        <v>223</v>
      </c>
      <c r="C72" s="2" t="str">
        <f>TEXT(Raw_Data[[#This Row],[Order_Date]],"mmmm")</f>
        <v>December</v>
      </c>
      <c r="D72" s="1" t="s">
        <v>25</v>
      </c>
      <c r="E72" s="1" t="s">
        <v>50</v>
      </c>
      <c r="F72" s="1" t="s">
        <v>65</v>
      </c>
      <c r="G72" s="1" t="s">
        <v>16</v>
      </c>
      <c r="H72">
        <v>5</v>
      </c>
      <c r="I72">
        <v>599</v>
      </c>
      <c r="J72">
        <v>2995</v>
      </c>
      <c r="K72" s="1" t="s">
        <v>54</v>
      </c>
      <c r="L72" s="1" t="s">
        <v>18</v>
      </c>
    </row>
    <row r="73" spans="1:12" x14ac:dyDescent="0.3">
      <c r="A73" s="1" t="s">
        <v>224</v>
      </c>
      <c r="B73" s="2" t="s">
        <v>225</v>
      </c>
      <c r="C73" s="2" t="str">
        <f>TEXT(Raw_Data[[#This Row],[Order_Date]],"mmmm")</f>
        <v>April</v>
      </c>
      <c r="D73" s="1" t="s">
        <v>13</v>
      </c>
      <c r="E73" s="1" t="s">
        <v>37</v>
      </c>
      <c r="F73" s="1" t="s">
        <v>41</v>
      </c>
      <c r="G73" s="1" t="s">
        <v>42</v>
      </c>
      <c r="H73">
        <v>3</v>
      </c>
      <c r="I73">
        <v>7499</v>
      </c>
      <c r="J73">
        <v>22497</v>
      </c>
      <c r="K73" s="1" t="s">
        <v>17</v>
      </c>
      <c r="L73" s="1" t="s">
        <v>18</v>
      </c>
    </row>
    <row r="74" spans="1:12" x14ac:dyDescent="0.3">
      <c r="A74" s="1" t="s">
        <v>226</v>
      </c>
      <c r="B74" s="2" t="s">
        <v>227</v>
      </c>
      <c r="C74" s="2" t="str">
        <f>TEXT(Raw_Data[[#This Row],[Order_Date]],"mmmm")</f>
        <v>August</v>
      </c>
      <c r="D74" s="1" t="s">
        <v>25</v>
      </c>
      <c r="E74" s="1" t="s">
        <v>33</v>
      </c>
      <c r="F74" s="1" t="s">
        <v>65</v>
      </c>
      <c r="G74" s="1" t="s">
        <v>16</v>
      </c>
      <c r="H74">
        <v>3</v>
      </c>
      <c r="I74">
        <v>599</v>
      </c>
      <c r="J74">
        <v>1797</v>
      </c>
      <c r="K74" s="1" t="s">
        <v>17</v>
      </c>
      <c r="L74" s="1" t="s">
        <v>18</v>
      </c>
    </row>
    <row r="75" spans="1:12" x14ac:dyDescent="0.3">
      <c r="A75" s="1" t="s">
        <v>228</v>
      </c>
      <c r="B75" s="2" t="s">
        <v>229</v>
      </c>
      <c r="C75" s="2" t="str">
        <f>TEXT(Raw_Data[[#This Row],[Order_Date]],"mmmm")</f>
        <v>August</v>
      </c>
      <c r="D75" s="1" t="s">
        <v>49</v>
      </c>
      <c r="E75" s="1" t="s">
        <v>14</v>
      </c>
      <c r="F75" s="1" t="s">
        <v>63</v>
      </c>
      <c r="G75" s="1" t="s">
        <v>27</v>
      </c>
      <c r="H75">
        <v>3</v>
      </c>
      <c r="I75">
        <v>1799</v>
      </c>
      <c r="J75">
        <v>5397</v>
      </c>
      <c r="K75" s="1" t="s">
        <v>17</v>
      </c>
      <c r="L75" s="1" t="s">
        <v>47</v>
      </c>
    </row>
    <row r="76" spans="1:12" x14ac:dyDescent="0.3">
      <c r="A76" s="1" t="s">
        <v>230</v>
      </c>
      <c r="B76" s="2" t="s">
        <v>64</v>
      </c>
      <c r="C76" s="2" t="str">
        <f>TEXT(Raw_Data[[#This Row],[Order_Date]],"mmmm")</f>
        <v>September</v>
      </c>
      <c r="D76" s="1" t="s">
        <v>31</v>
      </c>
      <c r="E76" s="1" t="s">
        <v>53</v>
      </c>
      <c r="F76" s="1" t="s">
        <v>34</v>
      </c>
      <c r="G76" s="1" t="s">
        <v>16</v>
      </c>
      <c r="H76">
        <v>5</v>
      </c>
      <c r="I76">
        <v>999</v>
      </c>
      <c r="J76">
        <v>4995</v>
      </c>
      <c r="K76" s="1" t="s">
        <v>54</v>
      </c>
      <c r="L76" s="1" t="s">
        <v>29</v>
      </c>
    </row>
    <row r="77" spans="1:12" x14ac:dyDescent="0.3">
      <c r="A77" s="1" t="s">
        <v>231</v>
      </c>
      <c r="B77" s="2" t="s">
        <v>232</v>
      </c>
      <c r="C77" s="2" t="str">
        <f>TEXT(Raw_Data[[#This Row],[Order_Date]],"mmmm")</f>
        <v>February</v>
      </c>
      <c r="D77" s="1" t="s">
        <v>52</v>
      </c>
      <c r="E77" s="1" t="s">
        <v>58</v>
      </c>
      <c r="F77" s="1" t="s">
        <v>63</v>
      </c>
      <c r="G77" s="1" t="s">
        <v>27</v>
      </c>
      <c r="H77">
        <v>3</v>
      </c>
      <c r="I77">
        <v>1799</v>
      </c>
      <c r="J77">
        <v>5397</v>
      </c>
      <c r="K77" s="1" t="s">
        <v>17</v>
      </c>
      <c r="L77" s="1" t="s">
        <v>18</v>
      </c>
    </row>
    <row r="78" spans="1:12" x14ac:dyDescent="0.3">
      <c r="A78" s="1" t="s">
        <v>233</v>
      </c>
      <c r="B78" s="2" t="s">
        <v>234</v>
      </c>
      <c r="C78" s="2" t="str">
        <f>TEXT(Raw_Data[[#This Row],[Order_Date]],"mmmm")</f>
        <v>July</v>
      </c>
      <c r="D78" s="1" t="s">
        <v>39</v>
      </c>
      <c r="E78" s="1" t="s">
        <v>56</v>
      </c>
      <c r="F78" s="1" t="s">
        <v>38</v>
      </c>
      <c r="G78" s="1" t="s">
        <v>27</v>
      </c>
      <c r="H78">
        <v>5</v>
      </c>
      <c r="I78">
        <v>12499</v>
      </c>
      <c r="J78">
        <v>62495</v>
      </c>
      <c r="K78" s="1" t="s">
        <v>23</v>
      </c>
      <c r="L78" s="1" t="s">
        <v>18</v>
      </c>
    </row>
    <row r="79" spans="1:12" x14ac:dyDescent="0.3">
      <c r="A79" s="1" t="s">
        <v>235</v>
      </c>
      <c r="B79" s="2" t="s">
        <v>236</v>
      </c>
      <c r="C79" s="2" t="str">
        <f>TEXT(Raw_Data[[#This Row],[Order_Date]],"mmmm")</f>
        <v>August</v>
      </c>
      <c r="D79" s="1" t="s">
        <v>36</v>
      </c>
      <c r="E79" s="1" t="s">
        <v>37</v>
      </c>
      <c r="F79" s="1" t="s">
        <v>21</v>
      </c>
      <c r="G79" s="1" t="s">
        <v>22</v>
      </c>
      <c r="H79">
        <v>1</v>
      </c>
      <c r="I79">
        <v>249</v>
      </c>
      <c r="J79">
        <v>249</v>
      </c>
      <c r="K79" s="1" t="s">
        <v>28</v>
      </c>
      <c r="L79" s="1" t="s">
        <v>29</v>
      </c>
    </row>
    <row r="80" spans="1:12" x14ac:dyDescent="0.3">
      <c r="A80" s="1" t="s">
        <v>237</v>
      </c>
      <c r="B80" s="2" t="s">
        <v>238</v>
      </c>
      <c r="C80" s="2" t="str">
        <f>TEXT(Raw_Data[[#This Row],[Order_Date]],"mmmm")</f>
        <v>December</v>
      </c>
      <c r="D80" s="1" t="s">
        <v>13</v>
      </c>
      <c r="E80" s="1" t="s">
        <v>50</v>
      </c>
      <c r="F80" s="1" t="s">
        <v>34</v>
      </c>
      <c r="G80" s="1" t="s">
        <v>16</v>
      </c>
      <c r="H80">
        <v>1</v>
      </c>
      <c r="I80">
        <v>999</v>
      </c>
      <c r="J80">
        <v>999</v>
      </c>
      <c r="K80" s="1" t="s">
        <v>23</v>
      </c>
      <c r="L80" s="1" t="s">
        <v>47</v>
      </c>
    </row>
    <row r="81" spans="1:12" x14ac:dyDescent="0.3">
      <c r="A81" s="1" t="s">
        <v>239</v>
      </c>
      <c r="B81" s="2" t="s">
        <v>240</v>
      </c>
      <c r="C81" s="2" t="str">
        <f>TEXT(Raw_Data[[#This Row],[Order_Date]],"mmmm")</f>
        <v>November</v>
      </c>
      <c r="D81" s="1" t="s">
        <v>13</v>
      </c>
      <c r="E81" s="1" t="s">
        <v>58</v>
      </c>
      <c r="F81" s="1" t="s">
        <v>21</v>
      </c>
      <c r="G81" s="1" t="s">
        <v>22</v>
      </c>
      <c r="H81">
        <v>3</v>
      </c>
      <c r="I81">
        <v>249</v>
      </c>
      <c r="J81">
        <v>747</v>
      </c>
      <c r="K81" s="1" t="s">
        <v>44</v>
      </c>
      <c r="L81" s="1" t="s">
        <v>18</v>
      </c>
    </row>
    <row r="82" spans="1:12" x14ac:dyDescent="0.3">
      <c r="A82" s="1" t="s">
        <v>241</v>
      </c>
      <c r="B82" s="2" t="s">
        <v>242</v>
      </c>
      <c r="C82" s="2" t="str">
        <f>TEXT(Raw_Data[[#This Row],[Order_Date]],"mmmm")</f>
        <v>March</v>
      </c>
      <c r="D82" s="1" t="s">
        <v>25</v>
      </c>
      <c r="E82" s="1" t="s">
        <v>20</v>
      </c>
      <c r="F82" s="1" t="s">
        <v>38</v>
      </c>
      <c r="G82" s="1" t="s">
        <v>27</v>
      </c>
      <c r="H82">
        <v>1</v>
      </c>
      <c r="I82">
        <v>12499</v>
      </c>
      <c r="J82">
        <v>12499</v>
      </c>
      <c r="K82" s="1" t="s">
        <v>54</v>
      </c>
      <c r="L82" s="1" t="s">
        <v>29</v>
      </c>
    </row>
    <row r="83" spans="1:12" x14ac:dyDescent="0.3">
      <c r="A83" s="1" t="s">
        <v>243</v>
      </c>
      <c r="B83" s="2" t="s">
        <v>106</v>
      </c>
      <c r="C83" s="2" t="str">
        <f>TEXT(Raw_Data[[#This Row],[Order_Date]],"mmmm")</f>
        <v>May</v>
      </c>
      <c r="D83" s="1" t="s">
        <v>49</v>
      </c>
      <c r="E83" s="1" t="s">
        <v>56</v>
      </c>
      <c r="F83" s="1" t="s">
        <v>15</v>
      </c>
      <c r="G83" s="1" t="s">
        <v>16</v>
      </c>
      <c r="H83">
        <v>1</v>
      </c>
      <c r="I83">
        <v>899</v>
      </c>
      <c r="J83">
        <v>899</v>
      </c>
      <c r="K83" s="1" t="s">
        <v>44</v>
      </c>
      <c r="L83" s="1" t="s">
        <v>18</v>
      </c>
    </row>
    <row r="84" spans="1:12" x14ac:dyDescent="0.3">
      <c r="A84" s="1" t="s">
        <v>244</v>
      </c>
      <c r="B84" s="2" t="s">
        <v>245</v>
      </c>
      <c r="C84" s="2" t="str">
        <f>TEXT(Raw_Data[[#This Row],[Order_Date]],"mmmm")</f>
        <v>October</v>
      </c>
      <c r="D84" s="1" t="s">
        <v>49</v>
      </c>
      <c r="E84" s="1" t="s">
        <v>56</v>
      </c>
      <c r="F84" s="1" t="s">
        <v>21</v>
      </c>
      <c r="G84" s="1" t="s">
        <v>22</v>
      </c>
      <c r="H84">
        <v>4</v>
      </c>
      <c r="I84">
        <v>249</v>
      </c>
      <c r="J84">
        <v>996</v>
      </c>
      <c r="K84" s="1" t="s">
        <v>23</v>
      </c>
      <c r="L84" s="1" t="s">
        <v>29</v>
      </c>
    </row>
    <row r="85" spans="1:12" x14ac:dyDescent="0.3">
      <c r="A85" s="1" t="s">
        <v>246</v>
      </c>
      <c r="B85" s="2" t="s">
        <v>247</v>
      </c>
      <c r="C85" s="2" t="str">
        <f>TEXT(Raw_Data[[#This Row],[Order_Date]],"mmmm")</f>
        <v>May</v>
      </c>
      <c r="D85" s="1" t="s">
        <v>25</v>
      </c>
      <c r="E85" s="1" t="s">
        <v>33</v>
      </c>
      <c r="F85" s="1" t="s">
        <v>41</v>
      </c>
      <c r="G85" s="1" t="s">
        <v>42</v>
      </c>
      <c r="H85">
        <v>4</v>
      </c>
      <c r="I85">
        <v>7499</v>
      </c>
      <c r="J85">
        <v>29996</v>
      </c>
      <c r="K85" s="1" t="s">
        <v>17</v>
      </c>
      <c r="L85" s="1" t="s">
        <v>29</v>
      </c>
    </row>
    <row r="86" spans="1:12" x14ac:dyDescent="0.3">
      <c r="A86" s="1" t="s">
        <v>248</v>
      </c>
      <c r="B86" s="2" t="s">
        <v>249</v>
      </c>
      <c r="C86" s="2" t="str">
        <f>TEXT(Raw_Data[[#This Row],[Order_Date]],"mmmm")</f>
        <v>July</v>
      </c>
      <c r="D86" s="1" t="s">
        <v>39</v>
      </c>
      <c r="E86" s="1" t="s">
        <v>33</v>
      </c>
      <c r="F86" s="1" t="s">
        <v>80</v>
      </c>
      <c r="G86" s="1" t="s">
        <v>81</v>
      </c>
      <c r="H86">
        <v>2</v>
      </c>
      <c r="I86">
        <v>1299</v>
      </c>
      <c r="J86">
        <v>2598</v>
      </c>
      <c r="K86" s="1" t="s">
        <v>28</v>
      </c>
      <c r="L86" s="1" t="s">
        <v>18</v>
      </c>
    </row>
    <row r="87" spans="1:12" x14ac:dyDescent="0.3">
      <c r="A87" s="1" t="s">
        <v>250</v>
      </c>
      <c r="B87" s="2" t="s">
        <v>251</v>
      </c>
      <c r="C87" s="2" t="str">
        <f>TEXT(Raw_Data[[#This Row],[Order_Date]],"mmmm")</f>
        <v>May</v>
      </c>
      <c r="D87" s="1" t="s">
        <v>13</v>
      </c>
      <c r="E87" s="1" t="s">
        <v>58</v>
      </c>
      <c r="F87" s="1" t="s">
        <v>65</v>
      </c>
      <c r="G87" s="1" t="s">
        <v>16</v>
      </c>
      <c r="H87">
        <v>4</v>
      </c>
      <c r="I87">
        <v>599</v>
      </c>
      <c r="J87">
        <v>2396</v>
      </c>
      <c r="K87" s="1" t="s">
        <v>44</v>
      </c>
      <c r="L87" s="1" t="s">
        <v>18</v>
      </c>
    </row>
    <row r="88" spans="1:12" x14ac:dyDescent="0.3">
      <c r="A88" s="1" t="s">
        <v>252</v>
      </c>
      <c r="B88" s="2" t="s">
        <v>171</v>
      </c>
      <c r="C88" s="2" t="str">
        <f>TEXT(Raw_Data[[#This Row],[Order_Date]],"mmmm")</f>
        <v>January</v>
      </c>
      <c r="D88" s="1" t="s">
        <v>25</v>
      </c>
      <c r="E88" s="1" t="s">
        <v>33</v>
      </c>
      <c r="F88" s="1" t="s">
        <v>26</v>
      </c>
      <c r="G88" s="1" t="s">
        <v>27</v>
      </c>
      <c r="H88">
        <v>5</v>
      </c>
      <c r="I88">
        <v>2199</v>
      </c>
      <c r="J88">
        <v>10995</v>
      </c>
      <c r="K88" s="1" t="s">
        <v>17</v>
      </c>
      <c r="L88" s="1" t="s">
        <v>18</v>
      </c>
    </row>
    <row r="89" spans="1:12" x14ac:dyDescent="0.3">
      <c r="A89" s="1" t="s">
        <v>253</v>
      </c>
      <c r="B89" s="2" t="s">
        <v>189</v>
      </c>
      <c r="C89" s="2" t="str">
        <f>TEXT(Raw_Data[[#This Row],[Order_Date]],"mmmm")</f>
        <v>February</v>
      </c>
      <c r="D89" s="1" t="s">
        <v>13</v>
      </c>
      <c r="E89" s="1" t="s">
        <v>14</v>
      </c>
      <c r="F89" s="1" t="s">
        <v>41</v>
      </c>
      <c r="G89" s="1" t="s">
        <v>42</v>
      </c>
      <c r="H89">
        <v>2</v>
      </c>
      <c r="I89">
        <v>7499</v>
      </c>
      <c r="J89">
        <v>14998</v>
      </c>
      <c r="K89" s="1" t="s">
        <v>17</v>
      </c>
      <c r="L89" s="1" t="s">
        <v>18</v>
      </c>
    </row>
    <row r="90" spans="1:12" x14ac:dyDescent="0.3">
      <c r="A90" s="1" t="s">
        <v>254</v>
      </c>
      <c r="B90" s="2" t="s">
        <v>255</v>
      </c>
      <c r="C90" s="2" t="str">
        <f>TEXT(Raw_Data[[#This Row],[Order_Date]],"mmmm")</f>
        <v>January</v>
      </c>
      <c r="D90" s="1" t="s">
        <v>31</v>
      </c>
      <c r="E90" s="1" t="s">
        <v>53</v>
      </c>
      <c r="F90" s="1" t="s">
        <v>46</v>
      </c>
      <c r="G90" s="1" t="s">
        <v>16</v>
      </c>
      <c r="H90">
        <v>5</v>
      </c>
      <c r="I90">
        <v>1499</v>
      </c>
      <c r="J90">
        <v>7495</v>
      </c>
      <c r="K90" s="1" t="s">
        <v>17</v>
      </c>
      <c r="L90" s="1" t="s">
        <v>47</v>
      </c>
    </row>
    <row r="91" spans="1:12" x14ac:dyDescent="0.3">
      <c r="A91" s="1" t="s">
        <v>256</v>
      </c>
      <c r="B91" s="2" t="s">
        <v>257</v>
      </c>
      <c r="C91" s="2" t="str">
        <f>TEXT(Raw_Data[[#This Row],[Order_Date]],"mmmm")</f>
        <v>February</v>
      </c>
      <c r="D91" s="1" t="s">
        <v>25</v>
      </c>
      <c r="E91" s="1" t="s">
        <v>53</v>
      </c>
      <c r="F91" s="1" t="s">
        <v>63</v>
      </c>
      <c r="G91" s="1" t="s">
        <v>27</v>
      </c>
      <c r="H91">
        <v>2</v>
      </c>
      <c r="I91">
        <v>1799</v>
      </c>
      <c r="J91">
        <v>3598</v>
      </c>
      <c r="K91" s="1" t="s">
        <v>23</v>
      </c>
      <c r="L91" s="1" t="s">
        <v>18</v>
      </c>
    </row>
    <row r="92" spans="1:12" x14ac:dyDescent="0.3">
      <c r="A92" s="1" t="s">
        <v>258</v>
      </c>
      <c r="B92" s="2" t="s">
        <v>67</v>
      </c>
      <c r="C92" s="2" t="str">
        <f>TEXT(Raw_Data[[#This Row],[Order_Date]],"mmmm")</f>
        <v>June</v>
      </c>
      <c r="D92" s="1" t="s">
        <v>25</v>
      </c>
      <c r="E92" s="1" t="s">
        <v>53</v>
      </c>
      <c r="F92" s="1" t="s">
        <v>26</v>
      </c>
      <c r="G92" s="1" t="s">
        <v>27</v>
      </c>
      <c r="H92">
        <v>5</v>
      </c>
      <c r="I92">
        <v>2199</v>
      </c>
      <c r="J92">
        <v>10995</v>
      </c>
      <c r="K92" s="1" t="s">
        <v>54</v>
      </c>
      <c r="L92" s="1" t="s">
        <v>18</v>
      </c>
    </row>
    <row r="93" spans="1:12" x14ac:dyDescent="0.3">
      <c r="A93" s="1" t="s">
        <v>259</v>
      </c>
      <c r="B93" s="2" t="s">
        <v>260</v>
      </c>
      <c r="C93" s="2" t="str">
        <f>TEXT(Raw_Data[[#This Row],[Order_Date]],"mmmm")</f>
        <v>September</v>
      </c>
      <c r="D93" s="1" t="s">
        <v>39</v>
      </c>
      <c r="E93" s="1" t="s">
        <v>58</v>
      </c>
      <c r="F93" s="1" t="s">
        <v>46</v>
      </c>
      <c r="G93" s="1" t="s">
        <v>16</v>
      </c>
      <c r="H93">
        <v>4</v>
      </c>
      <c r="I93">
        <v>1499</v>
      </c>
      <c r="J93">
        <v>5996</v>
      </c>
      <c r="K93" s="1" t="s">
        <v>44</v>
      </c>
      <c r="L93" s="1" t="s">
        <v>29</v>
      </c>
    </row>
    <row r="94" spans="1:12" x14ac:dyDescent="0.3">
      <c r="A94" s="1" t="s">
        <v>261</v>
      </c>
      <c r="B94" s="2" t="s">
        <v>262</v>
      </c>
      <c r="C94" s="2" t="str">
        <f>TEXT(Raw_Data[[#This Row],[Order_Date]],"mmmm")</f>
        <v>October</v>
      </c>
      <c r="D94" s="1" t="s">
        <v>39</v>
      </c>
      <c r="E94" s="1" t="s">
        <v>50</v>
      </c>
      <c r="F94" s="1" t="s">
        <v>34</v>
      </c>
      <c r="G94" s="1" t="s">
        <v>16</v>
      </c>
      <c r="H94">
        <v>5</v>
      </c>
      <c r="I94">
        <v>999</v>
      </c>
      <c r="J94">
        <v>4995</v>
      </c>
      <c r="K94" s="1" t="s">
        <v>28</v>
      </c>
      <c r="L94" s="1" t="s">
        <v>18</v>
      </c>
    </row>
    <row r="95" spans="1:12" x14ac:dyDescent="0.3">
      <c r="A95" s="1" t="s">
        <v>263</v>
      </c>
      <c r="B95" s="2" t="s">
        <v>264</v>
      </c>
      <c r="C95" s="2" t="str">
        <f>TEXT(Raw_Data[[#This Row],[Order_Date]],"mmmm")</f>
        <v>December</v>
      </c>
      <c r="D95" s="1" t="s">
        <v>31</v>
      </c>
      <c r="E95" s="1" t="s">
        <v>50</v>
      </c>
      <c r="F95" s="1" t="s">
        <v>41</v>
      </c>
      <c r="G95" s="1" t="s">
        <v>42</v>
      </c>
      <c r="H95">
        <v>1</v>
      </c>
      <c r="I95">
        <v>7499</v>
      </c>
      <c r="J95">
        <v>7499</v>
      </c>
      <c r="K95" s="1" t="s">
        <v>23</v>
      </c>
      <c r="L95" s="1" t="s">
        <v>18</v>
      </c>
    </row>
    <row r="96" spans="1:12" x14ac:dyDescent="0.3">
      <c r="A96" s="1" t="s">
        <v>265</v>
      </c>
      <c r="B96" s="2" t="s">
        <v>266</v>
      </c>
      <c r="C96" s="2" t="str">
        <f>TEXT(Raw_Data[[#This Row],[Order_Date]],"mmmm")</f>
        <v>August</v>
      </c>
      <c r="D96" s="1" t="s">
        <v>39</v>
      </c>
      <c r="E96" s="1" t="s">
        <v>50</v>
      </c>
      <c r="F96" s="1" t="s">
        <v>80</v>
      </c>
      <c r="G96" s="1" t="s">
        <v>81</v>
      </c>
      <c r="H96">
        <v>4</v>
      </c>
      <c r="I96">
        <v>1299</v>
      </c>
      <c r="J96">
        <v>5196</v>
      </c>
      <c r="K96" s="1" t="s">
        <v>44</v>
      </c>
      <c r="L96" s="1" t="s">
        <v>18</v>
      </c>
    </row>
    <row r="97" spans="1:12" x14ac:dyDescent="0.3">
      <c r="A97" s="1" t="s">
        <v>267</v>
      </c>
      <c r="B97" s="2" t="s">
        <v>268</v>
      </c>
      <c r="C97" s="2" t="str">
        <f>TEXT(Raw_Data[[#This Row],[Order_Date]],"mmmm")</f>
        <v>November</v>
      </c>
      <c r="D97" s="1" t="s">
        <v>49</v>
      </c>
      <c r="E97" s="1" t="s">
        <v>58</v>
      </c>
      <c r="F97" s="1" t="s">
        <v>15</v>
      </c>
      <c r="G97" s="1" t="s">
        <v>16</v>
      </c>
      <c r="H97">
        <v>3</v>
      </c>
      <c r="I97">
        <v>899</v>
      </c>
      <c r="J97">
        <v>2697</v>
      </c>
      <c r="K97" s="1" t="s">
        <v>17</v>
      </c>
      <c r="L97" s="1" t="s">
        <v>18</v>
      </c>
    </row>
    <row r="98" spans="1:12" x14ac:dyDescent="0.3">
      <c r="A98" s="1" t="s">
        <v>269</v>
      </c>
      <c r="B98" s="2" t="s">
        <v>270</v>
      </c>
      <c r="C98" s="2" t="str">
        <f>TEXT(Raw_Data[[#This Row],[Order_Date]],"mmmm")</f>
        <v>October</v>
      </c>
      <c r="D98" s="1" t="s">
        <v>36</v>
      </c>
      <c r="E98" s="1" t="s">
        <v>56</v>
      </c>
      <c r="F98" s="1" t="s">
        <v>41</v>
      </c>
      <c r="G98" s="1" t="s">
        <v>42</v>
      </c>
      <c r="H98">
        <v>5</v>
      </c>
      <c r="I98">
        <v>7499</v>
      </c>
      <c r="J98">
        <v>37495</v>
      </c>
      <c r="K98" s="1" t="s">
        <v>28</v>
      </c>
      <c r="L98" s="1" t="s">
        <v>47</v>
      </c>
    </row>
    <row r="99" spans="1:12" x14ac:dyDescent="0.3">
      <c r="A99" s="1" t="s">
        <v>271</v>
      </c>
      <c r="B99" s="2" t="s">
        <v>24</v>
      </c>
      <c r="C99" s="2" t="str">
        <f>TEXT(Raw_Data[[#This Row],[Order_Date]],"mmmm")</f>
        <v>September</v>
      </c>
      <c r="D99" s="1" t="s">
        <v>19</v>
      </c>
      <c r="E99" s="1" t="s">
        <v>58</v>
      </c>
      <c r="F99" s="1" t="s">
        <v>63</v>
      </c>
      <c r="G99" s="1" t="s">
        <v>27</v>
      </c>
      <c r="H99">
        <v>4</v>
      </c>
      <c r="I99">
        <v>1799</v>
      </c>
      <c r="J99">
        <v>7196</v>
      </c>
      <c r="K99" s="1" t="s">
        <v>23</v>
      </c>
      <c r="L99" s="1" t="s">
        <v>47</v>
      </c>
    </row>
    <row r="100" spans="1:12" x14ac:dyDescent="0.3">
      <c r="A100" s="1" t="s">
        <v>272</v>
      </c>
      <c r="B100" s="2" t="s">
        <v>273</v>
      </c>
      <c r="C100" s="2" t="str">
        <f>TEXT(Raw_Data[[#This Row],[Order_Date]],"mmmm")</f>
        <v>August</v>
      </c>
      <c r="D100" s="1" t="s">
        <v>13</v>
      </c>
      <c r="E100" s="1" t="s">
        <v>56</v>
      </c>
      <c r="F100" s="1" t="s">
        <v>26</v>
      </c>
      <c r="G100" s="1" t="s">
        <v>27</v>
      </c>
      <c r="H100">
        <v>4</v>
      </c>
      <c r="I100">
        <v>2199</v>
      </c>
      <c r="J100">
        <v>8796</v>
      </c>
      <c r="K100" s="1" t="s">
        <v>54</v>
      </c>
      <c r="L100" s="1" t="s">
        <v>29</v>
      </c>
    </row>
    <row r="101" spans="1:12" x14ac:dyDescent="0.3">
      <c r="A101" s="1" t="s">
        <v>274</v>
      </c>
      <c r="B101" s="2" t="s">
        <v>74</v>
      </c>
      <c r="C101" s="2" t="str">
        <f>TEXT(Raw_Data[[#This Row],[Order_Date]],"mmmm")</f>
        <v>February</v>
      </c>
      <c r="D101" s="1" t="s">
        <v>36</v>
      </c>
      <c r="E101" s="1" t="s">
        <v>56</v>
      </c>
      <c r="F101" s="1" t="s">
        <v>38</v>
      </c>
      <c r="G101" s="1" t="s">
        <v>27</v>
      </c>
      <c r="H101">
        <v>4</v>
      </c>
      <c r="I101">
        <v>12499</v>
      </c>
      <c r="J101">
        <v>49996</v>
      </c>
      <c r="K101" s="1" t="s">
        <v>54</v>
      </c>
      <c r="L101" s="1" t="s">
        <v>18</v>
      </c>
    </row>
    <row r="102" spans="1:12" x14ac:dyDescent="0.3">
      <c r="A102" s="1" t="s">
        <v>275</v>
      </c>
      <c r="B102" s="2" t="s">
        <v>223</v>
      </c>
      <c r="C102" s="2" t="str">
        <f>TEXT(Raw_Data[[#This Row],[Order_Date]],"mmmm")</f>
        <v>December</v>
      </c>
      <c r="D102" s="1" t="s">
        <v>52</v>
      </c>
      <c r="E102" s="1" t="s">
        <v>58</v>
      </c>
      <c r="F102" s="1" t="s">
        <v>34</v>
      </c>
      <c r="G102" s="1" t="s">
        <v>16</v>
      </c>
      <c r="H102">
        <v>2</v>
      </c>
      <c r="I102">
        <v>999</v>
      </c>
      <c r="J102">
        <v>1998</v>
      </c>
      <c r="K102" s="1" t="s">
        <v>23</v>
      </c>
      <c r="L102" s="1" t="s">
        <v>18</v>
      </c>
    </row>
    <row r="103" spans="1:12" x14ac:dyDescent="0.3">
      <c r="A103" s="1" t="s">
        <v>276</v>
      </c>
      <c r="B103" s="2" t="s">
        <v>277</v>
      </c>
      <c r="C103" s="2" t="str">
        <f>TEXT(Raw_Data[[#This Row],[Order_Date]],"mmmm")</f>
        <v>February</v>
      </c>
      <c r="D103" s="1" t="s">
        <v>36</v>
      </c>
      <c r="E103" s="1" t="s">
        <v>53</v>
      </c>
      <c r="F103" s="1" t="s">
        <v>15</v>
      </c>
      <c r="G103" s="1" t="s">
        <v>16</v>
      </c>
      <c r="H103">
        <v>4</v>
      </c>
      <c r="I103">
        <v>899</v>
      </c>
      <c r="J103">
        <v>3596</v>
      </c>
      <c r="K103" s="1" t="s">
        <v>28</v>
      </c>
      <c r="L103" s="1" t="s">
        <v>18</v>
      </c>
    </row>
    <row r="104" spans="1:12" x14ac:dyDescent="0.3">
      <c r="A104" s="1" t="s">
        <v>278</v>
      </c>
      <c r="B104" s="2" t="s">
        <v>88</v>
      </c>
      <c r="C104" s="2" t="str">
        <f>TEXT(Raw_Data[[#This Row],[Order_Date]],"mmmm")</f>
        <v>October</v>
      </c>
      <c r="D104" s="1" t="s">
        <v>36</v>
      </c>
      <c r="E104" s="1" t="s">
        <v>58</v>
      </c>
      <c r="F104" s="1" t="s">
        <v>41</v>
      </c>
      <c r="G104" s="1" t="s">
        <v>42</v>
      </c>
      <c r="H104">
        <v>5</v>
      </c>
      <c r="I104">
        <v>7499</v>
      </c>
      <c r="J104">
        <v>37495</v>
      </c>
      <c r="K104" s="1" t="s">
        <v>44</v>
      </c>
      <c r="L104" s="1" t="s">
        <v>18</v>
      </c>
    </row>
    <row r="105" spans="1:12" x14ac:dyDescent="0.3">
      <c r="A105" s="1" t="s">
        <v>279</v>
      </c>
      <c r="B105" s="2" t="s">
        <v>280</v>
      </c>
      <c r="C105" s="2" t="str">
        <f>TEXT(Raw_Data[[#This Row],[Order_Date]],"mmmm")</f>
        <v>May</v>
      </c>
      <c r="D105" s="1" t="s">
        <v>31</v>
      </c>
      <c r="E105" s="1" t="s">
        <v>33</v>
      </c>
      <c r="F105" s="1" t="s">
        <v>38</v>
      </c>
      <c r="G105" s="1" t="s">
        <v>27</v>
      </c>
      <c r="H105">
        <v>1</v>
      </c>
      <c r="I105">
        <v>12499</v>
      </c>
      <c r="J105">
        <v>12499</v>
      </c>
      <c r="K105" s="1" t="s">
        <v>23</v>
      </c>
      <c r="L105" s="1" t="s">
        <v>47</v>
      </c>
    </row>
    <row r="106" spans="1:12" x14ac:dyDescent="0.3">
      <c r="A106" s="1" t="s">
        <v>281</v>
      </c>
      <c r="B106" s="2" t="s">
        <v>32</v>
      </c>
      <c r="C106" s="2" t="str">
        <f>TEXT(Raw_Data[[#This Row],[Order_Date]],"mmmm")</f>
        <v>March</v>
      </c>
      <c r="D106" s="1" t="s">
        <v>52</v>
      </c>
      <c r="E106" s="1" t="s">
        <v>14</v>
      </c>
      <c r="F106" s="1" t="s">
        <v>21</v>
      </c>
      <c r="G106" s="1" t="s">
        <v>22</v>
      </c>
      <c r="H106">
        <v>2</v>
      </c>
      <c r="I106">
        <v>249</v>
      </c>
      <c r="J106">
        <v>498</v>
      </c>
      <c r="K106" s="1" t="s">
        <v>23</v>
      </c>
      <c r="L106" s="1" t="s">
        <v>18</v>
      </c>
    </row>
    <row r="107" spans="1:12" x14ac:dyDescent="0.3">
      <c r="A107" s="1" t="s">
        <v>282</v>
      </c>
      <c r="B107" s="2" t="s">
        <v>232</v>
      </c>
      <c r="C107" s="2" t="str">
        <f>TEXT(Raw_Data[[#This Row],[Order_Date]],"mmmm")</f>
        <v>February</v>
      </c>
      <c r="D107" s="1" t="s">
        <v>31</v>
      </c>
      <c r="E107" s="1" t="s">
        <v>14</v>
      </c>
      <c r="F107" s="1" t="s">
        <v>21</v>
      </c>
      <c r="G107" s="1" t="s">
        <v>22</v>
      </c>
      <c r="H107">
        <v>3</v>
      </c>
      <c r="I107">
        <v>249</v>
      </c>
      <c r="J107">
        <v>747</v>
      </c>
      <c r="K107" s="1" t="s">
        <v>44</v>
      </c>
      <c r="L107" s="1" t="s">
        <v>47</v>
      </c>
    </row>
    <row r="108" spans="1:12" x14ac:dyDescent="0.3">
      <c r="A108" s="1" t="s">
        <v>283</v>
      </c>
      <c r="B108" s="2" t="s">
        <v>238</v>
      </c>
      <c r="C108" s="2" t="str">
        <f>TEXT(Raw_Data[[#This Row],[Order_Date]],"mmmm")</f>
        <v>December</v>
      </c>
      <c r="D108" s="1" t="s">
        <v>25</v>
      </c>
      <c r="E108" s="1" t="s">
        <v>37</v>
      </c>
      <c r="F108" s="1" t="s">
        <v>41</v>
      </c>
      <c r="G108" s="1" t="s">
        <v>42</v>
      </c>
      <c r="H108">
        <v>5</v>
      </c>
      <c r="I108">
        <v>7499</v>
      </c>
      <c r="J108">
        <v>37495</v>
      </c>
      <c r="K108" s="1" t="s">
        <v>23</v>
      </c>
      <c r="L108" s="1" t="s">
        <v>18</v>
      </c>
    </row>
    <row r="109" spans="1:12" x14ac:dyDescent="0.3">
      <c r="A109" s="1" t="s">
        <v>284</v>
      </c>
      <c r="B109" s="2" t="s">
        <v>202</v>
      </c>
      <c r="C109" s="2" t="str">
        <f>TEXT(Raw_Data[[#This Row],[Order_Date]],"mmmm")</f>
        <v>June</v>
      </c>
      <c r="D109" s="1" t="s">
        <v>36</v>
      </c>
      <c r="E109" s="1" t="s">
        <v>20</v>
      </c>
      <c r="F109" s="1" t="s">
        <v>63</v>
      </c>
      <c r="G109" s="1" t="s">
        <v>27</v>
      </c>
      <c r="H109">
        <v>3</v>
      </c>
      <c r="I109">
        <v>1799</v>
      </c>
      <c r="J109">
        <v>5397</v>
      </c>
      <c r="K109" s="1" t="s">
        <v>17</v>
      </c>
      <c r="L109" s="1" t="s">
        <v>18</v>
      </c>
    </row>
    <row r="110" spans="1:12" x14ac:dyDescent="0.3">
      <c r="A110" s="1" t="s">
        <v>285</v>
      </c>
      <c r="B110" s="2" t="s">
        <v>189</v>
      </c>
      <c r="C110" s="2" t="str">
        <f>TEXT(Raw_Data[[#This Row],[Order_Date]],"mmmm")</f>
        <v>February</v>
      </c>
      <c r="D110" s="1" t="s">
        <v>49</v>
      </c>
      <c r="E110" s="1" t="s">
        <v>20</v>
      </c>
      <c r="F110" s="1" t="s">
        <v>41</v>
      </c>
      <c r="G110" s="1" t="s">
        <v>42</v>
      </c>
      <c r="H110">
        <v>4</v>
      </c>
      <c r="I110">
        <v>7499</v>
      </c>
      <c r="J110">
        <v>29996</v>
      </c>
      <c r="K110" s="1" t="s">
        <v>23</v>
      </c>
      <c r="L110" s="1" t="s">
        <v>47</v>
      </c>
    </row>
    <row r="111" spans="1:12" x14ac:dyDescent="0.3">
      <c r="A111" s="1" t="s">
        <v>286</v>
      </c>
      <c r="B111" s="2" t="s">
        <v>287</v>
      </c>
      <c r="C111" s="2" t="str">
        <f>TEXT(Raw_Data[[#This Row],[Order_Date]],"mmmm")</f>
        <v>August</v>
      </c>
      <c r="D111" s="1" t="s">
        <v>52</v>
      </c>
      <c r="E111" s="1" t="s">
        <v>33</v>
      </c>
      <c r="F111" s="1" t="s">
        <v>26</v>
      </c>
      <c r="G111" s="1" t="s">
        <v>27</v>
      </c>
      <c r="H111">
        <v>4</v>
      </c>
      <c r="I111">
        <v>2199</v>
      </c>
      <c r="J111">
        <v>8796</v>
      </c>
      <c r="K111" s="1" t="s">
        <v>17</v>
      </c>
      <c r="L111" s="1" t="s">
        <v>18</v>
      </c>
    </row>
    <row r="112" spans="1:12" x14ac:dyDescent="0.3">
      <c r="A112" s="1" t="s">
        <v>288</v>
      </c>
      <c r="B112" s="2" t="s">
        <v>289</v>
      </c>
      <c r="C112" s="2" t="str">
        <f>TEXT(Raw_Data[[#This Row],[Order_Date]],"mmmm")</f>
        <v>October</v>
      </c>
      <c r="D112" s="1" t="s">
        <v>39</v>
      </c>
      <c r="E112" s="1" t="s">
        <v>20</v>
      </c>
      <c r="F112" s="1" t="s">
        <v>63</v>
      </c>
      <c r="G112" s="1" t="s">
        <v>290</v>
      </c>
      <c r="H112">
        <v>3</v>
      </c>
      <c r="I112">
        <v>1799</v>
      </c>
      <c r="J112">
        <v>5397</v>
      </c>
      <c r="K112" s="1" t="s">
        <v>17</v>
      </c>
      <c r="L112" s="1" t="s">
        <v>18</v>
      </c>
    </row>
    <row r="113" spans="1:12" x14ac:dyDescent="0.3">
      <c r="A113" s="1" t="s">
        <v>291</v>
      </c>
      <c r="B113" s="2" t="s">
        <v>238</v>
      </c>
      <c r="C113" s="2" t="str">
        <f>TEXT(Raw_Data[[#This Row],[Order_Date]],"mmmm")</f>
        <v>December</v>
      </c>
      <c r="D113" s="1" t="s">
        <v>39</v>
      </c>
      <c r="E113" s="1" t="s">
        <v>37</v>
      </c>
      <c r="F113" s="1" t="s">
        <v>41</v>
      </c>
      <c r="G113" s="1" t="s">
        <v>42</v>
      </c>
      <c r="H113">
        <v>1</v>
      </c>
      <c r="I113">
        <v>7499</v>
      </c>
      <c r="J113">
        <v>7499</v>
      </c>
      <c r="K113" s="1" t="s">
        <v>44</v>
      </c>
      <c r="L113" s="1" t="s">
        <v>29</v>
      </c>
    </row>
    <row r="114" spans="1:12" x14ac:dyDescent="0.3">
      <c r="A114" s="1" t="s">
        <v>292</v>
      </c>
      <c r="B114" s="2" t="s">
        <v>293</v>
      </c>
      <c r="C114" s="2" t="str">
        <f>TEXT(Raw_Data[[#This Row],[Order_Date]],"mmmm")</f>
        <v>August</v>
      </c>
      <c r="D114" s="1" t="s">
        <v>19</v>
      </c>
      <c r="E114" s="1" t="s">
        <v>37</v>
      </c>
      <c r="F114" s="1" t="s">
        <v>80</v>
      </c>
      <c r="G114" s="1" t="s">
        <v>81</v>
      </c>
      <c r="H114">
        <v>5</v>
      </c>
      <c r="I114">
        <v>1299</v>
      </c>
      <c r="J114">
        <v>6495</v>
      </c>
      <c r="K114" s="1" t="s">
        <v>17</v>
      </c>
      <c r="L114" s="1" t="s">
        <v>47</v>
      </c>
    </row>
    <row r="115" spans="1:12" x14ac:dyDescent="0.3">
      <c r="A115" s="1" t="s">
        <v>294</v>
      </c>
      <c r="B115" s="2" t="s">
        <v>98</v>
      </c>
      <c r="C115" s="2" t="str">
        <f>TEXT(Raw_Data[[#This Row],[Order_Date]],"mmmm")</f>
        <v>August</v>
      </c>
      <c r="D115" s="1" t="s">
        <v>39</v>
      </c>
      <c r="E115" s="1" t="s">
        <v>37</v>
      </c>
      <c r="F115" s="1" t="s">
        <v>15</v>
      </c>
      <c r="G115" s="1" t="s">
        <v>16</v>
      </c>
      <c r="H115">
        <v>3</v>
      </c>
      <c r="I115">
        <v>899</v>
      </c>
      <c r="J115">
        <v>2697</v>
      </c>
      <c r="K115" s="1" t="s">
        <v>28</v>
      </c>
      <c r="L115" s="1" t="s">
        <v>29</v>
      </c>
    </row>
    <row r="116" spans="1:12" x14ac:dyDescent="0.3">
      <c r="A116" s="1" t="s">
        <v>295</v>
      </c>
      <c r="B116" s="2" t="s">
        <v>104</v>
      </c>
      <c r="C116" s="2" t="str">
        <f>TEXT(Raw_Data[[#This Row],[Order_Date]],"mmmm")</f>
        <v>January</v>
      </c>
      <c r="D116" s="1" t="s">
        <v>13</v>
      </c>
      <c r="E116" s="1" t="s">
        <v>56</v>
      </c>
      <c r="F116" s="1" t="s">
        <v>21</v>
      </c>
      <c r="G116" s="1" t="s">
        <v>22</v>
      </c>
      <c r="H116">
        <v>3</v>
      </c>
      <c r="I116">
        <v>249</v>
      </c>
      <c r="J116">
        <v>747</v>
      </c>
      <c r="K116" s="1" t="s">
        <v>28</v>
      </c>
      <c r="L116" s="1" t="s">
        <v>18</v>
      </c>
    </row>
    <row r="117" spans="1:12" x14ac:dyDescent="0.3">
      <c r="A117" s="1" t="s">
        <v>296</v>
      </c>
      <c r="B117" s="2" t="s">
        <v>100</v>
      </c>
      <c r="C117" s="2" t="str">
        <f>TEXT(Raw_Data[[#This Row],[Order_Date]],"mmmm")</f>
        <v>June</v>
      </c>
      <c r="D117" s="1" t="s">
        <v>13</v>
      </c>
      <c r="E117" s="1" t="s">
        <v>53</v>
      </c>
      <c r="F117" s="1" t="s">
        <v>65</v>
      </c>
      <c r="G117" s="1" t="s">
        <v>16</v>
      </c>
      <c r="H117">
        <v>2</v>
      </c>
      <c r="I117">
        <v>599</v>
      </c>
      <c r="J117">
        <v>1198</v>
      </c>
      <c r="K117" s="1" t="s">
        <v>54</v>
      </c>
      <c r="L117" s="1" t="s">
        <v>18</v>
      </c>
    </row>
    <row r="118" spans="1:12" x14ac:dyDescent="0.3">
      <c r="A118" s="1" t="s">
        <v>297</v>
      </c>
      <c r="B118" s="2" t="s">
        <v>298</v>
      </c>
      <c r="C118" s="2" t="str">
        <f>TEXT(Raw_Data[[#This Row],[Order_Date]],"mmmm")</f>
        <v>January</v>
      </c>
      <c r="D118" s="1" t="s">
        <v>52</v>
      </c>
      <c r="E118" s="1" t="s">
        <v>56</v>
      </c>
      <c r="F118" s="1" t="s">
        <v>34</v>
      </c>
      <c r="G118" s="1" t="s">
        <v>16</v>
      </c>
      <c r="H118">
        <v>1</v>
      </c>
      <c r="I118">
        <v>999</v>
      </c>
      <c r="J118">
        <v>999</v>
      </c>
      <c r="K118" s="1" t="s">
        <v>17</v>
      </c>
      <c r="L118" s="1" t="s">
        <v>18</v>
      </c>
    </row>
    <row r="119" spans="1:12" x14ac:dyDescent="0.3">
      <c r="A119" s="1" t="s">
        <v>299</v>
      </c>
      <c r="B119" s="2" t="s">
        <v>40</v>
      </c>
      <c r="C119" s="2" t="str">
        <f>TEXT(Raw_Data[[#This Row],[Order_Date]],"mmmm")</f>
        <v>December</v>
      </c>
      <c r="D119" s="1" t="s">
        <v>13</v>
      </c>
      <c r="E119" s="1" t="s">
        <v>33</v>
      </c>
      <c r="F119" s="1" t="s">
        <v>38</v>
      </c>
      <c r="G119" s="1" t="s">
        <v>27</v>
      </c>
      <c r="H119">
        <v>5</v>
      </c>
      <c r="I119">
        <v>12499</v>
      </c>
      <c r="J119">
        <v>62495</v>
      </c>
      <c r="K119" s="1" t="s">
        <v>23</v>
      </c>
      <c r="L119" s="1" t="s">
        <v>29</v>
      </c>
    </row>
    <row r="120" spans="1:12" x14ac:dyDescent="0.3">
      <c r="A120" s="1" t="s">
        <v>300</v>
      </c>
      <c r="B120" s="2" t="s">
        <v>301</v>
      </c>
      <c r="C120" s="2" t="str">
        <f>TEXT(Raw_Data[[#This Row],[Order_Date]],"mmmm")</f>
        <v>January</v>
      </c>
      <c r="D120" s="1" t="s">
        <v>52</v>
      </c>
      <c r="E120" s="1" t="s">
        <v>58</v>
      </c>
      <c r="F120" s="1" t="s">
        <v>65</v>
      </c>
      <c r="G120" s="1" t="s">
        <v>16</v>
      </c>
      <c r="H120">
        <v>4</v>
      </c>
      <c r="I120">
        <v>599</v>
      </c>
      <c r="J120">
        <v>2396</v>
      </c>
      <c r="K120" s="1" t="s">
        <v>54</v>
      </c>
      <c r="L120" s="1" t="s">
        <v>47</v>
      </c>
    </row>
    <row r="121" spans="1:12" x14ac:dyDescent="0.3">
      <c r="A121" s="1" t="s">
        <v>302</v>
      </c>
      <c r="B121" s="2" t="s">
        <v>303</v>
      </c>
      <c r="C121" s="2" t="str">
        <f>TEXT(Raw_Data[[#This Row],[Order_Date]],"mmmm")</f>
        <v>July</v>
      </c>
      <c r="D121" s="1" t="s">
        <v>19</v>
      </c>
      <c r="E121" s="1" t="s">
        <v>37</v>
      </c>
      <c r="F121" s="1" t="s">
        <v>38</v>
      </c>
      <c r="G121" s="1" t="s">
        <v>27</v>
      </c>
      <c r="H121">
        <v>5</v>
      </c>
      <c r="I121">
        <v>12499</v>
      </c>
      <c r="J121">
        <v>62495</v>
      </c>
      <c r="K121" s="1" t="s">
        <v>23</v>
      </c>
      <c r="L121" s="1" t="s">
        <v>29</v>
      </c>
    </row>
    <row r="122" spans="1:12" x14ac:dyDescent="0.3">
      <c r="A122" s="1" t="s">
        <v>304</v>
      </c>
      <c r="B122" s="2" t="s">
        <v>305</v>
      </c>
      <c r="C122" s="2" t="str">
        <f>TEXT(Raw_Data[[#This Row],[Order_Date]],"mmmm")</f>
        <v>March</v>
      </c>
      <c r="D122" s="1" t="s">
        <v>52</v>
      </c>
      <c r="E122" s="1" t="s">
        <v>33</v>
      </c>
      <c r="F122" s="1" t="s">
        <v>65</v>
      </c>
      <c r="G122" s="1" t="s">
        <v>16</v>
      </c>
      <c r="H122">
        <v>3</v>
      </c>
      <c r="I122">
        <v>599</v>
      </c>
      <c r="J122">
        <v>1797</v>
      </c>
      <c r="K122" s="1" t="s">
        <v>23</v>
      </c>
      <c r="L122" s="1" t="s">
        <v>29</v>
      </c>
    </row>
    <row r="123" spans="1:12" x14ac:dyDescent="0.3">
      <c r="A123" s="1" t="s">
        <v>306</v>
      </c>
      <c r="B123" s="2" t="s">
        <v>307</v>
      </c>
      <c r="C123" s="2" t="str">
        <f>TEXT(Raw_Data[[#This Row],[Order_Date]],"mmmm")</f>
        <v>August</v>
      </c>
      <c r="D123" s="1" t="s">
        <v>19</v>
      </c>
      <c r="E123" s="1" t="s">
        <v>58</v>
      </c>
      <c r="F123" s="1" t="s">
        <v>15</v>
      </c>
      <c r="G123" s="1" t="s">
        <v>16</v>
      </c>
      <c r="H123">
        <v>2</v>
      </c>
      <c r="I123">
        <v>899</v>
      </c>
      <c r="J123">
        <v>1798</v>
      </c>
      <c r="K123" s="1" t="s">
        <v>44</v>
      </c>
      <c r="L123" s="1" t="s">
        <v>18</v>
      </c>
    </row>
    <row r="124" spans="1:12" hidden="1" x14ac:dyDescent="0.3">
      <c r="A124" s="1" t="s">
        <v>308</v>
      </c>
      <c r="B124" s="2" t="s">
        <v>87</v>
      </c>
      <c r="C124" s="2" t="str">
        <f>TEXT(Raw_Data[[#This Row],[Order_Date]],"mmmm")</f>
        <v>June</v>
      </c>
      <c r="D124" s="1" t="s">
        <v>49</v>
      </c>
      <c r="E124" s="1" t="s">
        <v>58</v>
      </c>
      <c r="F124" s="1"/>
      <c r="G124" s="1" t="s">
        <v>16</v>
      </c>
      <c r="H124">
        <v>2</v>
      </c>
      <c r="I124">
        <v>999</v>
      </c>
      <c r="J124">
        <v>1998</v>
      </c>
      <c r="K124" s="1" t="s">
        <v>28</v>
      </c>
      <c r="L124" s="1" t="s">
        <v>18</v>
      </c>
    </row>
    <row r="125" spans="1:12" x14ac:dyDescent="0.3">
      <c r="A125" s="1" t="s">
        <v>309</v>
      </c>
      <c r="B125" s="2" t="s">
        <v>310</v>
      </c>
      <c r="C125" s="2" t="str">
        <f>TEXT(Raw_Data[[#This Row],[Order_Date]],"mmmm")</f>
        <v>April</v>
      </c>
      <c r="D125" s="1" t="s">
        <v>36</v>
      </c>
      <c r="E125" s="1" t="s">
        <v>33</v>
      </c>
      <c r="F125" s="1" t="s">
        <v>21</v>
      </c>
      <c r="G125" s="1" t="s">
        <v>22</v>
      </c>
      <c r="H125">
        <v>5</v>
      </c>
      <c r="I125">
        <v>249</v>
      </c>
      <c r="J125">
        <v>1245</v>
      </c>
      <c r="K125" s="1" t="s">
        <v>17</v>
      </c>
      <c r="L125" s="1" t="s">
        <v>18</v>
      </c>
    </row>
    <row r="126" spans="1:12" x14ac:dyDescent="0.3">
      <c r="A126" s="1" t="s">
        <v>311</v>
      </c>
      <c r="B126" s="2" t="s">
        <v>312</v>
      </c>
      <c r="C126" s="2" t="str">
        <f>TEXT(Raw_Data[[#This Row],[Order_Date]],"mmmm")</f>
        <v>May</v>
      </c>
      <c r="D126" s="1" t="s">
        <v>13</v>
      </c>
      <c r="E126" s="1" t="s">
        <v>53</v>
      </c>
      <c r="F126" s="1" t="s">
        <v>15</v>
      </c>
      <c r="G126" s="1" t="s">
        <v>16</v>
      </c>
      <c r="H126">
        <v>2</v>
      </c>
      <c r="I126">
        <v>899</v>
      </c>
      <c r="J126">
        <v>1798</v>
      </c>
      <c r="K126" s="1" t="s">
        <v>28</v>
      </c>
      <c r="L126" s="1" t="s">
        <v>18</v>
      </c>
    </row>
    <row r="127" spans="1:12" x14ac:dyDescent="0.3">
      <c r="A127" s="1" t="s">
        <v>313</v>
      </c>
      <c r="B127" s="2" t="s">
        <v>314</v>
      </c>
      <c r="C127" s="2" t="str">
        <f>TEXT(Raw_Data[[#This Row],[Order_Date]],"mmmm")</f>
        <v>November</v>
      </c>
      <c r="D127" s="1" t="s">
        <v>52</v>
      </c>
      <c r="E127" s="1" t="s">
        <v>50</v>
      </c>
      <c r="F127" s="1" t="s">
        <v>15</v>
      </c>
      <c r="G127" s="1" t="s">
        <v>16</v>
      </c>
      <c r="H127">
        <v>2</v>
      </c>
      <c r="I127">
        <v>899</v>
      </c>
      <c r="J127">
        <v>1798</v>
      </c>
      <c r="K127" s="1" t="s">
        <v>28</v>
      </c>
      <c r="L127" s="1" t="s">
        <v>47</v>
      </c>
    </row>
    <row r="128" spans="1:12" x14ac:dyDescent="0.3">
      <c r="A128" s="1" t="s">
        <v>315</v>
      </c>
      <c r="B128" s="2" t="s">
        <v>108</v>
      </c>
      <c r="C128" s="2" t="str">
        <f>TEXT(Raw_Data[[#This Row],[Order_Date]],"mmmm")</f>
        <v>November</v>
      </c>
      <c r="D128" s="1" t="s">
        <v>36</v>
      </c>
      <c r="E128" s="1" t="s">
        <v>33</v>
      </c>
      <c r="F128" s="1" t="s">
        <v>80</v>
      </c>
      <c r="G128" s="1" t="s">
        <v>81</v>
      </c>
      <c r="H128">
        <v>5</v>
      </c>
      <c r="I128">
        <v>1299</v>
      </c>
      <c r="J128">
        <v>6495</v>
      </c>
      <c r="K128" s="1" t="s">
        <v>17</v>
      </c>
      <c r="L128" s="1" t="s">
        <v>29</v>
      </c>
    </row>
    <row r="129" spans="1:12" x14ac:dyDescent="0.3">
      <c r="A129" s="1" t="s">
        <v>316</v>
      </c>
      <c r="B129" s="2" t="s">
        <v>293</v>
      </c>
      <c r="C129" s="2" t="str">
        <f>TEXT(Raw_Data[[#This Row],[Order_Date]],"mmmm")</f>
        <v>August</v>
      </c>
      <c r="D129" s="1" t="s">
        <v>31</v>
      </c>
      <c r="E129" s="1" t="s">
        <v>37</v>
      </c>
      <c r="F129" s="1" t="s">
        <v>15</v>
      </c>
      <c r="G129" s="1" t="s">
        <v>16</v>
      </c>
      <c r="H129">
        <v>4</v>
      </c>
      <c r="I129">
        <v>899</v>
      </c>
      <c r="J129">
        <v>3596</v>
      </c>
      <c r="K129" s="1" t="s">
        <v>28</v>
      </c>
      <c r="L129" s="1" t="s">
        <v>18</v>
      </c>
    </row>
    <row r="130" spans="1:12" x14ac:dyDescent="0.3">
      <c r="A130" s="1" t="s">
        <v>317</v>
      </c>
      <c r="B130" s="2" t="s">
        <v>149</v>
      </c>
      <c r="C130" s="2" t="str">
        <f>TEXT(Raw_Data[[#This Row],[Order_Date]],"mmmm")</f>
        <v>February</v>
      </c>
      <c r="D130" s="1" t="s">
        <v>31</v>
      </c>
      <c r="E130" s="1" t="s">
        <v>50</v>
      </c>
      <c r="F130" s="1" t="s">
        <v>34</v>
      </c>
      <c r="G130" s="1" t="s">
        <v>16</v>
      </c>
      <c r="H130">
        <v>5</v>
      </c>
      <c r="I130">
        <v>999</v>
      </c>
      <c r="J130">
        <v>4995</v>
      </c>
      <c r="K130" s="1" t="s">
        <v>44</v>
      </c>
      <c r="L130" s="1" t="s">
        <v>18</v>
      </c>
    </row>
    <row r="131" spans="1:12" x14ac:dyDescent="0.3">
      <c r="A131" s="1" t="s">
        <v>318</v>
      </c>
      <c r="B131" s="2" t="s">
        <v>319</v>
      </c>
      <c r="C131" s="2" t="str">
        <f>TEXT(Raw_Data[[#This Row],[Order_Date]],"mmmm")</f>
        <v>May</v>
      </c>
      <c r="D131" s="1" t="s">
        <v>39</v>
      </c>
      <c r="E131" s="1" t="s">
        <v>58</v>
      </c>
      <c r="F131" s="1" t="s">
        <v>65</v>
      </c>
      <c r="G131" s="1" t="s">
        <v>16</v>
      </c>
      <c r="H131">
        <v>3</v>
      </c>
      <c r="I131">
        <v>599</v>
      </c>
      <c r="J131">
        <v>1797</v>
      </c>
      <c r="K131" s="1" t="s">
        <v>28</v>
      </c>
      <c r="L131" s="1" t="s">
        <v>47</v>
      </c>
    </row>
    <row r="132" spans="1:12" x14ac:dyDescent="0.3">
      <c r="A132" s="1" t="s">
        <v>320</v>
      </c>
      <c r="B132" s="2" t="s">
        <v>76</v>
      </c>
      <c r="C132" s="2" t="str">
        <f>TEXT(Raw_Data[[#This Row],[Order_Date]],"mmmm")</f>
        <v>August</v>
      </c>
      <c r="D132" s="1" t="s">
        <v>25</v>
      </c>
      <c r="E132" s="1" t="s">
        <v>50</v>
      </c>
      <c r="F132" s="1" t="s">
        <v>21</v>
      </c>
      <c r="G132" s="1" t="s">
        <v>22</v>
      </c>
      <c r="H132">
        <v>4</v>
      </c>
      <c r="I132">
        <v>249</v>
      </c>
      <c r="J132">
        <v>996</v>
      </c>
      <c r="K132" s="1" t="s">
        <v>28</v>
      </c>
      <c r="L132" s="1" t="s">
        <v>18</v>
      </c>
    </row>
    <row r="133" spans="1:12" x14ac:dyDescent="0.3">
      <c r="A133" s="1" t="s">
        <v>321</v>
      </c>
      <c r="B133" s="2" t="s">
        <v>322</v>
      </c>
      <c r="C133" s="2" t="str">
        <f>TEXT(Raw_Data[[#This Row],[Order_Date]],"mmmm")</f>
        <v>September</v>
      </c>
      <c r="D133" s="1" t="s">
        <v>49</v>
      </c>
      <c r="E133" s="1" t="s">
        <v>20</v>
      </c>
      <c r="F133" s="1" t="s">
        <v>34</v>
      </c>
      <c r="G133" s="1" t="s">
        <v>16</v>
      </c>
      <c r="H133">
        <v>5</v>
      </c>
      <c r="I133">
        <v>999</v>
      </c>
      <c r="J133">
        <v>4995</v>
      </c>
      <c r="K133" s="1" t="s">
        <v>44</v>
      </c>
      <c r="L133" s="1" t="s">
        <v>18</v>
      </c>
    </row>
    <row r="134" spans="1:12" x14ac:dyDescent="0.3">
      <c r="A134" s="1" t="s">
        <v>323</v>
      </c>
      <c r="B134" s="2" t="s">
        <v>24</v>
      </c>
      <c r="C134" s="2" t="str">
        <f>TEXT(Raw_Data[[#This Row],[Order_Date]],"mmmm")</f>
        <v>September</v>
      </c>
      <c r="D134" s="1" t="s">
        <v>49</v>
      </c>
      <c r="E134" s="1" t="s">
        <v>20</v>
      </c>
      <c r="F134" s="1" t="s">
        <v>34</v>
      </c>
      <c r="G134" s="1" t="s">
        <v>16</v>
      </c>
      <c r="H134">
        <v>1</v>
      </c>
      <c r="I134">
        <v>999</v>
      </c>
      <c r="J134">
        <v>999</v>
      </c>
      <c r="K134" s="1" t="s">
        <v>17</v>
      </c>
      <c r="L134" s="1" t="s">
        <v>29</v>
      </c>
    </row>
    <row r="135" spans="1:12" x14ac:dyDescent="0.3">
      <c r="A135" s="1" t="s">
        <v>324</v>
      </c>
      <c r="B135" s="2" t="s">
        <v>153</v>
      </c>
      <c r="C135" s="2" t="str">
        <f>TEXT(Raw_Data[[#This Row],[Order_Date]],"mmmm")</f>
        <v>September</v>
      </c>
      <c r="D135" s="1" t="s">
        <v>49</v>
      </c>
      <c r="E135" s="1" t="s">
        <v>33</v>
      </c>
      <c r="F135" s="1" t="s">
        <v>80</v>
      </c>
      <c r="G135" s="1" t="s">
        <v>81</v>
      </c>
      <c r="H135">
        <v>5</v>
      </c>
      <c r="I135">
        <v>1299</v>
      </c>
      <c r="J135">
        <v>6495</v>
      </c>
      <c r="K135" s="1" t="s">
        <v>54</v>
      </c>
      <c r="L135" s="1" t="s">
        <v>18</v>
      </c>
    </row>
    <row r="136" spans="1:12" x14ac:dyDescent="0.3">
      <c r="A136" s="1" t="s">
        <v>325</v>
      </c>
      <c r="B136" s="2" t="s">
        <v>202</v>
      </c>
      <c r="C136" s="2" t="str">
        <f>TEXT(Raw_Data[[#This Row],[Order_Date]],"mmmm")</f>
        <v>June</v>
      </c>
      <c r="D136" s="1" t="s">
        <v>25</v>
      </c>
      <c r="E136" s="1" t="s">
        <v>33</v>
      </c>
      <c r="F136" s="1" t="s">
        <v>38</v>
      </c>
      <c r="G136" s="1" t="s">
        <v>27</v>
      </c>
      <c r="H136">
        <v>4</v>
      </c>
      <c r="I136">
        <v>1499</v>
      </c>
      <c r="J136">
        <v>49996</v>
      </c>
      <c r="K136" s="1" t="s">
        <v>23</v>
      </c>
      <c r="L136" s="1" t="s">
        <v>18</v>
      </c>
    </row>
    <row r="137" spans="1:12" x14ac:dyDescent="0.3">
      <c r="A137" s="1" t="s">
        <v>326</v>
      </c>
      <c r="B137" s="2" t="s">
        <v>327</v>
      </c>
      <c r="C137" s="2" t="str">
        <f>TEXT(Raw_Data[[#This Row],[Order_Date]],"mmmm")</f>
        <v>December</v>
      </c>
      <c r="D137" s="1" t="s">
        <v>19</v>
      </c>
      <c r="E137" s="1" t="s">
        <v>37</v>
      </c>
      <c r="F137" s="1" t="s">
        <v>15</v>
      </c>
      <c r="G137" s="1" t="s">
        <v>16</v>
      </c>
      <c r="H137">
        <v>5</v>
      </c>
      <c r="I137">
        <v>899</v>
      </c>
      <c r="J137">
        <v>4495</v>
      </c>
      <c r="K137" s="1" t="s">
        <v>54</v>
      </c>
      <c r="L137" s="1" t="s">
        <v>47</v>
      </c>
    </row>
    <row r="138" spans="1:12" x14ac:dyDescent="0.3">
      <c r="A138" s="1" t="s">
        <v>328</v>
      </c>
      <c r="B138" s="2" t="s">
        <v>329</v>
      </c>
      <c r="C138" s="2" t="str">
        <f>TEXT(Raw_Data[[#This Row],[Order_Date]],"mmmm")</f>
        <v>February</v>
      </c>
      <c r="D138" s="1" t="s">
        <v>49</v>
      </c>
      <c r="E138" s="1" t="s">
        <v>33</v>
      </c>
      <c r="F138" s="1" t="s">
        <v>46</v>
      </c>
      <c r="G138" s="1" t="s">
        <v>16</v>
      </c>
      <c r="H138">
        <v>3</v>
      </c>
      <c r="I138">
        <v>1499</v>
      </c>
      <c r="J138">
        <v>4497</v>
      </c>
      <c r="K138" s="1" t="s">
        <v>54</v>
      </c>
      <c r="L138" s="1" t="s">
        <v>29</v>
      </c>
    </row>
    <row r="139" spans="1:12" x14ac:dyDescent="0.3">
      <c r="A139" s="1" t="s">
        <v>330</v>
      </c>
      <c r="B139" s="2" t="s">
        <v>96</v>
      </c>
      <c r="C139" s="2" t="str">
        <f>TEXT(Raw_Data[[#This Row],[Order_Date]],"mmmm")</f>
        <v>December</v>
      </c>
      <c r="D139" s="1" t="s">
        <v>39</v>
      </c>
      <c r="E139" s="1" t="s">
        <v>37</v>
      </c>
      <c r="F139" s="1" t="s">
        <v>46</v>
      </c>
      <c r="G139" s="1" t="s">
        <v>16</v>
      </c>
      <c r="H139">
        <v>5</v>
      </c>
      <c r="I139">
        <v>1499</v>
      </c>
      <c r="J139">
        <v>7495</v>
      </c>
      <c r="K139" s="1" t="s">
        <v>28</v>
      </c>
      <c r="L139" s="1" t="s">
        <v>29</v>
      </c>
    </row>
    <row r="140" spans="1:12" x14ac:dyDescent="0.3">
      <c r="A140" s="1" t="s">
        <v>331</v>
      </c>
      <c r="B140" s="2" t="s">
        <v>71</v>
      </c>
      <c r="C140" s="2" t="str">
        <f>TEXT(Raw_Data[[#This Row],[Order_Date]],"mmmm")</f>
        <v>December</v>
      </c>
      <c r="D140" s="1" t="s">
        <v>39</v>
      </c>
      <c r="E140" s="1" t="s">
        <v>56</v>
      </c>
      <c r="F140" s="1" t="s">
        <v>34</v>
      </c>
      <c r="G140" s="1" t="s">
        <v>16</v>
      </c>
      <c r="H140">
        <v>2</v>
      </c>
      <c r="I140">
        <v>999</v>
      </c>
      <c r="J140">
        <v>1998</v>
      </c>
      <c r="K140" s="1" t="s">
        <v>28</v>
      </c>
      <c r="L140" s="1" t="s">
        <v>18</v>
      </c>
    </row>
    <row r="141" spans="1:12" x14ac:dyDescent="0.3">
      <c r="A141" s="1" t="s">
        <v>332</v>
      </c>
      <c r="B141" s="2" t="s">
        <v>333</v>
      </c>
      <c r="C141" s="2" t="str">
        <f>TEXT(Raw_Data[[#This Row],[Order_Date]],"mmmm")</f>
        <v>June</v>
      </c>
      <c r="D141" s="1" t="s">
        <v>49</v>
      </c>
      <c r="E141" s="1" t="s">
        <v>14</v>
      </c>
      <c r="F141" s="1" t="s">
        <v>65</v>
      </c>
      <c r="G141" s="1" t="s">
        <v>16</v>
      </c>
      <c r="H141">
        <v>3</v>
      </c>
      <c r="I141">
        <v>599</v>
      </c>
      <c r="J141">
        <v>1797</v>
      </c>
      <c r="K141" s="1" t="s">
        <v>54</v>
      </c>
      <c r="L141" s="1" t="s">
        <v>29</v>
      </c>
    </row>
    <row r="142" spans="1:12" x14ac:dyDescent="0.3">
      <c r="A142" s="1" t="s">
        <v>334</v>
      </c>
      <c r="B142" s="2" t="s">
        <v>57</v>
      </c>
      <c r="C142" s="2" t="str">
        <f>TEXT(Raw_Data[[#This Row],[Order_Date]],"mmmm")</f>
        <v>March</v>
      </c>
      <c r="D142" s="1" t="s">
        <v>49</v>
      </c>
      <c r="E142" s="1" t="s">
        <v>58</v>
      </c>
      <c r="F142" s="1" t="s">
        <v>26</v>
      </c>
      <c r="G142" s="1" t="s">
        <v>27</v>
      </c>
      <c r="H142">
        <v>2</v>
      </c>
      <c r="I142">
        <v>2199</v>
      </c>
      <c r="J142">
        <v>4398</v>
      </c>
      <c r="K142" s="1" t="s">
        <v>54</v>
      </c>
      <c r="L142" s="1" t="s">
        <v>18</v>
      </c>
    </row>
    <row r="143" spans="1:12" x14ac:dyDescent="0.3">
      <c r="A143" s="1" t="s">
        <v>335</v>
      </c>
      <c r="B143" s="2" t="s">
        <v>260</v>
      </c>
      <c r="C143" s="2" t="str">
        <f>TEXT(Raw_Data[[#This Row],[Order_Date]],"mmmm")</f>
        <v>September</v>
      </c>
      <c r="D143" s="1" t="s">
        <v>25</v>
      </c>
      <c r="E143" s="1" t="s">
        <v>33</v>
      </c>
      <c r="F143" s="1" t="s">
        <v>21</v>
      </c>
      <c r="G143" s="1" t="s">
        <v>22</v>
      </c>
      <c r="H143">
        <v>5</v>
      </c>
      <c r="I143">
        <v>249</v>
      </c>
      <c r="J143">
        <v>1245</v>
      </c>
      <c r="K143" s="1" t="s">
        <v>28</v>
      </c>
      <c r="L143" s="1" t="s">
        <v>18</v>
      </c>
    </row>
    <row r="144" spans="1:12" x14ac:dyDescent="0.3">
      <c r="A144" s="1" t="s">
        <v>336</v>
      </c>
      <c r="B144" s="2" t="s">
        <v>66</v>
      </c>
      <c r="C144" s="2" t="str">
        <f>TEXT(Raw_Data[[#This Row],[Order_Date]],"mmmm")</f>
        <v>March</v>
      </c>
      <c r="D144" s="1" t="s">
        <v>49</v>
      </c>
      <c r="E144" s="1" t="s">
        <v>53</v>
      </c>
      <c r="F144" s="1" t="s">
        <v>41</v>
      </c>
      <c r="G144" s="1" t="s">
        <v>42</v>
      </c>
      <c r="H144">
        <v>4</v>
      </c>
      <c r="I144">
        <v>7499</v>
      </c>
      <c r="J144">
        <v>29996</v>
      </c>
      <c r="K144" s="1" t="s">
        <v>28</v>
      </c>
      <c r="L144" s="1" t="s">
        <v>18</v>
      </c>
    </row>
    <row r="145" spans="1:12" x14ac:dyDescent="0.3">
      <c r="A145" s="1" t="s">
        <v>337</v>
      </c>
      <c r="B145" s="2" t="s">
        <v>338</v>
      </c>
      <c r="C145" s="2" t="str">
        <f>TEXT(Raw_Data[[#This Row],[Order_Date]],"mmmm")</f>
        <v>July</v>
      </c>
      <c r="D145" s="1" t="s">
        <v>36</v>
      </c>
      <c r="E145" s="1" t="s">
        <v>14</v>
      </c>
      <c r="F145" s="1" t="s">
        <v>80</v>
      </c>
      <c r="G145" s="1" t="s">
        <v>81</v>
      </c>
      <c r="H145">
        <v>1</v>
      </c>
      <c r="I145">
        <v>1299</v>
      </c>
      <c r="J145">
        <v>1299</v>
      </c>
      <c r="K145" s="1" t="s">
        <v>44</v>
      </c>
      <c r="L145" s="1" t="s">
        <v>47</v>
      </c>
    </row>
    <row r="146" spans="1:12" x14ac:dyDescent="0.3">
      <c r="A146" s="1" t="s">
        <v>339</v>
      </c>
      <c r="B146" s="2" t="s">
        <v>340</v>
      </c>
      <c r="C146" s="2" t="str">
        <f>TEXT(Raw_Data[[#This Row],[Order_Date]],"mmmm")</f>
        <v>April</v>
      </c>
      <c r="D146" s="1" t="s">
        <v>13</v>
      </c>
      <c r="E146" s="1" t="s">
        <v>37</v>
      </c>
      <c r="F146" s="1" t="s">
        <v>63</v>
      </c>
      <c r="G146" s="1" t="s">
        <v>27</v>
      </c>
      <c r="H146">
        <v>4</v>
      </c>
      <c r="I146">
        <v>1799</v>
      </c>
      <c r="J146">
        <v>7196</v>
      </c>
      <c r="K146" s="1" t="s">
        <v>44</v>
      </c>
      <c r="L146" s="1" t="s">
        <v>18</v>
      </c>
    </row>
    <row r="147" spans="1:12" x14ac:dyDescent="0.3">
      <c r="A147" s="1" t="s">
        <v>341</v>
      </c>
      <c r="B147" s="2" t="s">
        <v>227</v>
      </c>
      <c r="C147" s="2" t="str">
        <f>TEXT(Raw_Data[[#This Row],[Order_Date]],"mmmm")</f>
        <v>August</v>
      </c>
      <c r="D147" s="1" t="s">
        <v>52</v>
      </c>
      <c r="E147" s="1" t="s">
        <v>37</v>
      </c>
      <c r="F147" s="1" t="s">
        <v>34</v>
      </c>
      <c r="G147" s="1" t="s">
        <v>16</v>
      </c>
      <c r="H147">
        <v>5</v>
      </c>
      <c r="I147">
        <v>999</v>
      </c>
      <c r="J147">
        <v>4995</v>
      </c>
      <c r="K147" s="1" t="s">
        <v>44</v>
      </c>
      <c r="L147" s="1" t="s">
        <v>47</v>
      </c>
    </row>
    <row r="148" spans="1:12" x14ac:dyDescent="0.3">
      <c r="A148" s="1" t="s">
        <v>342</v>
      </c>
      <c r="B148" s="2" t="s">
        <v>343</v>
      </c>
      <c r="C148" s="2" t="str">
        <f>TEXT(Raw_Data[[#This Row],[Order_Date]],"mmmm")</f>
        <v>March</v>
      </c>
      <c r="D148" s="1" t="s">
        <v>13</v>
      </c>
      <c r="E148" s="1" t="s">
        <v>53</v>
      </c>
      <c r="F148" s="1" t="s">
        <v>21</v>
      </c>
      <c r="G148" s="1" t="s">
        <v>22</v>
      </c>
      <c r="H148">
        <v>4</v>
      </c>
      <c r="I148">
        <v>249</v>
      </c>
      <c r="J148">
        <v>996</v>
      </c>
      <c r="K148" s="1" t="s">
        <v>54</v>
      </c>
      <c r="L148" s="1" t="s">
        <v>18</v>
      </c>
    </row>
    <row r="149" spans="1:12" x14ac:dyDescent="0.3">
      <c r="A149" s="1" t="s">
        <v>344</v>
      </c>
      <c r="B149" s="2" t="s">
        <v>345</v>
      </c>
      <c r="C149" s="2" t="str">
        <f>TEXT(Raw_Data[[#This Row],[Order_Date]],"mmmm")</f>
        <v>October</v>
      </c>
      <c r="D149" s="1" t="s">
        <v>39</v>
      </c>
      <c r="E149" s="1" t="s">
        <v>58</v>
      </c>
      <c r="F149" s="1" t="s">
        <v>80</v>
      </c>
      <c r="G149" s="1" t="s">
        <v>81</v>
      </c>
      <c r="H149">
        <v>3</v>
      </c>
      <c r="I149">
        <v>1299</v>
      </c>
      <c r="J149">
        <v>3897</v>
      </c>
      <c r="K149" s="1" t="s">
        <v>54</v>
      </c>
      <c r="L149" s="1" t="s">
        <v>18</v>
      </c>
    </row>
    <row r="150" spans="1:12" x14ac:dyDescent="0.3">
      <c r="A150" s="1" t="s">
        <v>346</v>
      </c>
      <c r="B150" s="2" t="s">
        <v>347</v>
      </c>
      <c r="C150" s="2" t="str">
        <f>TEXT(Raw_Data[[#This Row],[Order_Date]],"mmmm")</f>
        <v>August</v>
      </c>
      <c r="D150" s="1" t="s">
        <v>49</v>
      </c>
      <c r="E150" s="1" t="s">
        <v>56</v>
      </c>
      <c r="F150" s="1" t="s">
        <v>46</v>
      </c>
      <c r="G150" s="1" t="s">
        <v>16</v>
      </c>
      <c r="H150">
        <v>3</v>
      </c>
      <c r="I150">
        <v>1499</v>
      </c>
      <c r="J150">
        <v>4497</v>
      </c>
      <c r="K150" s="1" t="s">
        <v>23</v>
      </c>
      <c r="L150" s="1" t="s">
        <v>18</v>
      </c>
    </row>
    <row r="151" spans="1:12" x14ac:dyDescent="0.3">
      <c r="A151" s="1" t="s">
        <v>348</v>
      </c>
      <c r="B151" s="2" t="s">
        <v>349</v>
      </c>
      <c r="C151" s="2" t="str">
        <f>TEXT(Raw_Data[[#This Row],[Order_Date]],"mmmm")</f>
        <v>January</v>
      </c>
      <c r="D151" s="1" t="s">
        <v>19</v>
      </c>
      <c r="E151" s="1" t="s">
        <v>20</v>
      </c>
      <c r="F151" s="1" t="s">
        <v>80</v>
      </c>
      <c r="G151" s="1" t="s">
        <v>81</v>
      </c>
      <c r="H151">
        <v>3</v>
      </c>
      <c r="I151">
        <v>1299</v>
      </c>
      <c r="J151">
        <v>3897</v>
      </c>
      <c r="K151" s="1" t="s">
        <v>44</v>
      </c>
      <c r="L151" s="1" t="s">
        <v>47</v>
      </c>
    </row>
    <row r="152" spans="1:12" x14ac:dyDescent="0.3">
      <c r="A152" s="1" t="s">
        <v>350</v>
      </c>
      <c r="B152" s="2" t="s">
        <v>351</v>
      </c>
      <c r="C152" s="2" t="str">
        <f>TEXT(Raw_Data[[#This Row],[Order_Date]],"mmmm")</f>
        <v>July</v>
      </c>
      <c r="D152" s="1" t="s">
        <v>39</v>
      </c>
      <c r="E152" s="1" t="s">
        <v>33</v>
      </c>
      <c r="F152" s="1" t="s">
        <v>34</v>
      </c>
      <c r="G152" s="1" t="s">
        <v>16</v>
      </c>
      <c r="H152">
        <v>2</v>
      </c>
      <c r="I152">
        <v>999</v>
      </c>
      <c r="J152">
        <v>1998</v>
      </c>
      <c r="K152" s="1" t="s">
        <v>17</v>
      </c>
      <c r="L152" s="1" t="s">
        <v>18</v>
      </c>
    </row>
    <row r="153" spans="1:12" x14ac:dyDescent="0.3">
      <c r="A153" s="1" t="s">
        <v>352</v>
      </c>
      <c r="B153" s="2" t="s">
        <v>353</v>
      </c>
      <c r="C153" s="2" t="str">
        <f>TEXT(Raw_Data[[#This Row],[Order_Date]],"mmmm")</f>
        <v>November</v>
      </c>
      <c r="D153" s="1" t="s">
        <v>36</v>
      </c>
      <c r="E153" s="1" t="s">
        <v>53</v>
      </c>
      <c r="F153" s="1" t="s">
        <v>34</v>
      </c>
      <c r="G153" s="1" t="s">
        <v>16</v>
      </c>
      <c r="H153">
        <v>1</v>
      </c>
      <c r="I153">
        <v>999</v>
      </c>
      <c r="J153">
        <v>999</v>
      </c>
      <c r="K153" s="1" t="s">
        <v>17</v>
      </c>
      <c r="L153" s="1" t="s">
        <v>18</v>
      </c>
    </row>
    <row r="154" spans="1:12" x14ac:dyDescent="0.3">
      <c r="A154" s="1" t="s">
        <v>354</v>
      </c>
      <c r="B154" s="2" t="s">
        <v>355</v>
      </c>
      <c r="C154" s="2" t="str">
        <f>TEXT(Raw_Data[[#This Row],[Order_Date]],"mmmm")</f>
        <v>December</v>
      </c>
      <c r="D154" s="1" t="s">
        <v>49</v>
      </c>
      <c r="E154" s="1" t="s">
        <v>50</v>
      </c>
      <c r="F154" s="1" t="s">
        <v>63</v>
      </c>
      <c r="G154" s="1" t="s">
        <v>27</v>
      </c>
      <c r="H154">
        <v>4</v>
      </c>
      <c r="I154">
        <v>1799</v>
      </c>
      <c r="J154">
        <v>7196</v>
      </c>
      <c r="K154" s="1" t="s">
        <v>44</v>
      </c>
      <c r="L154" s="1" t="s">
        <v>47</v>
      </c>
    </row>
    <row r="155" spans="1:12" x14ac:dyDescent="0.3">
      <c r="A155" s="1" t="s">
        <v>356</v>
      </c>
      <c r="B155" s="2" t="s">
        <v>301</v>
      </c>
      <c r="C155" s="2" t="str">
        <f>TEXT(Raw_Data[[#This Row],[Order_Date]],"mmmm")</f>
        <v>January</v>
      </c>
      <c r="D155" s="1" t="s">
        <v>31</v>
      </c>
      <c r="E155" s="1" t="s">
        <v>14</v>
      </c>
      <c r="F155" s="1" t="s">
        <v>65</v>
      </c>
      <c r="G155" s="1" t="s">
        <v>16</v>
      </c>
      <c r="H155">
        <v>1</v>
      </c>
      <c r="I155">
        <v>599</v>
      </c>
      <c r="J155">
        <v>599</v>
      </c>
      <c r="K155" s="1" t="s">
        <v>17</v>
      </c>
      <c r="L155" s="1" t="s">
        <v>47</v>
      </c>
    </row>
    <row r="156" spans="1:12" x14ac:dyDescent="0.3">
      <c r="A156" s="1" t="s">
        <v>357</v>
      </c>
      <c r="B156" s="2" t="s">
        <v>358</v>
      </c>
      <c r="C156" s="2" t="str">
        <f>TEXT(Raw_Data[[#This Row],[Order_Date]],"mmmm")</f>
        <v>August</v>
      </c>
      <c r="D156" s="1" t="s">
        <v>39</v>
      </c>
      <c r="E156" s="1" t="s">
        <v>37</v>
      </c>
      <c r="F156" s="1" t="s">
        <v>41</v>
      </c>
      <c r="G156" s="1" t="s">
        <v>42</v>
      </c>
      <c r="H156">
        <v>5</v>
      </c>
      <c r="I156">
        <v>7499</v>
      </c>
      <c r="J156">
        <v>37495</v>
      </c>
      <c r="K156" s="1" t="s">
        <v>17</v>
      </c>
      <c r="L156" s="1" t="s">
        <v>18</v>
      </c>
    </row>
    <row r="157" spans="1:12" x14ac:dyDescent="0.3">
      <c r="A157" s="1" t="s">
        <v>359</v>
      </c>
      <c r="B157" s="2" t="s">
        <v>182</v>
      </c>
      <c r="C157" s="2" t="str">
        <f>TEXT(Raw_Data[[#This Row],[Order_Date]],"mmmm")</f>
        <v>May</v>
      </c>
      <c r="D157" s="1" t="s">
        <v>19</v>
      </c>
      <c r="E157" s="1" t="s">
        <v>50</v>
      </c>
      <c r="F157" s="1" t="s">
        <v>15</v>
      </c>
      <c r="G157" s="1" t="s">
        <v>16</v>
      </c>
      <c r="H157">
        <v>1</v>
      </c>
      <c r="I157">
        <v>899</v>
      </c>
      <c r="J157">
        <v>899</v>
      </c>
      <c r="K157" s="1" t="s">
        <v>23</v>
      </c>
      <c r="L157" s="1" t="s">
        <v>18</v>
      </c>
    </row>
    <row r="158" spans="1:12" x14ac:dyDescent="0.3">
      <c r="A158" s="1" t="s">
        <v>360</v>
      </c>
      <c r="B158" s="2" t="s">
        <v>361</v>
      </c>
      <c r="C158" s="2" t="str">
        <f>TEXT(Raw_Data[[#This Row],[Order_Date]],"mmmm")</f>
        <v>October</v>
      </c>
      <c r="D158" s="1" t="s">
        <v>25</v>
      </c>
      <c r="E158" s="1" t="s">
        <v>14</v>
      </c>
      <c r="F158" s="1" t="s">
        <v>80</v>
      </c>
      <c r="G158" s="1" t="s">
        <v>81</v>
      </c>
      <c r="H158">
        <v>5</v>
      </c>
      <c r="I158">
        <v>1299</v>
      </c>
      <c r="J158">
        <v>6495</v>
      </c>
      <c r="K158" s="1" t="s">
        <v>17</v>
      </c>
      <c r="L158" s="1" t="s">
        <v>18</v>
      </c>
    </row>
    <row r="159" spans="1:12" x14ac:dyDescent="0.3">
      <c r="A159" s="1" t="s">
        <v>362</v>
      </c>
      <c r="B159" s="2" t="s">
        <v>363</v>
      </c>
      <c r="C159" s="2" t="str">
        <f>TEXT(Raw_Data[[#This Row],[Order_Date]],"mmmm")</f>
        <v>November</v>
      </c>
      <c r="D159" s="1" t="s">
        <v>36</v>
      </c>
      <c r="E159" s="1" t="s">
        <v>14</v>
      </c>
      <c r="F159" s="1" t="s">
        <v>38</v>
      </c>
      <c r="G159" s="1" t="s">
        <v>27</v>
      </c>
      <c r="H159">
        <v>1</v>
      </c>
      <c r="I159">
        <v>12499</v>
      </c>
      <c r="J159">
        <v>12499</v>
      </c>
      <c r="K159" s="1" t="s">
        <v>28</v>
      </c>
      <c r="L159" s="1" t="s">
        <v>29</v>
      </c>
    </row>
    <row r="160" spans="1:12" x14ac:dyDescent="0.3">
      <c r="A160" s="1" t="s">
        <v>364</v>
      </c>
      <c r="B160" s="2" t="s">
        <v>365</v>
      </c>
      <c r="C160" s="2" t="str">
        <f>TEXT(Raw_Data[[#This Row],[Order_Date]],"mmmm")</f>
        <v>September</v>
      </c>
      <c r="D160" s="1" t="s">
        <v>36</v>
      </c>
      <c r="E160" s="1" t="s">
        <v>58</v>
      </c>
      <c r="F160" s="1" t="s">
        <v>46</v>
      </c>
      <c r="G160" s="1" t="s">
        <v>16</v>
      </c>
      <c r="H160">
        <v>1</v>
      </c>
      <c r="I160">
        <v>1499</v>
      </c>
      <c r="J160">
        <v>1499</v>
      </c>
      <c r="K160" s="1" t="s">
        <v>28</v>
      </c>
      <c r="L160" s="1" t="s">
        <v>47</v>
      </c>
    </row>
    <row r="161" spans="1:12" x14ac:dyDescent="0.3">
      <c r="A161" s="1" t="s">
        <v>366</v>
      </c>
      <c r="B161" s="2" t="s">
        <v>345</v>
      </c>
      <c r="C161" s="2" t="str">
        <f>TEXT(Raw_Data[[#This Row],[Order_Date]],"mmmm")</f>
        <v>October</v>
      </c>
      <c r="D161" s="1" t="s">
        <v>25</v>
      </c>
      <c r="E161" s="1" t="s">
        <v>56</v>
      </c>
      <c r="F161" s="1" t="s">
        <v>21</v>
      </c>
      <c r="G161" s="1" t="s">
        <v>22</v>
      </c>
      <c r="H161">
        <v>5</v>
      </c>
      <c r="I161">
        <v>249</v>
      </c>
      <c r="J161">
        <v>1245</v>
      </c>
      <c r="K161" s="1" t="s">
        <v>44</v>
      </c>
      <c r="L161" s="1" t="s">
        <v>18</v>
      </c>
    </row>
    <row r="162" spans="1:12" x14ac:dyDescent="0.3">
      <c r="A162" s="1" t="s">
        <v>367</v>
      </c>
      <c r="B162" s="2" t="s">
        <v>368</v>
      </c>
      <c r="C162" s="2" t="str">
        <f>TEXT(Raw_Data[[#This Row],[Order_Date]],"mmmm")</f>
        <v>May</v>
      </c>
      <c r="D162" s="1" t="s">
        <v>25</v>
      </c>
      <c r="E162" s="1" t="s">
        <v>33</v>
      </c>
      <c r="F162" s="1" t="s">
        <v>38</v>
      </c>
      <c r="G162" s="1" t="s">
        <v>27</v>
      </c>
      <c r="H162">
        <v>3</v>
      </c>
      <c r="I162">
        <v>12499</v>
      </c>
      <c r="J162">
        <v>37497</v>
      </c>
      <c r="K162" s="1" t="s">
        <v>23</v>
      </c>
      <c r="L162" s="1" t="s">
        <v>18</v>
      </c>
    </row>
    <row r="163" spans="1:12" hidden="1" x14ac:dyDescent="0.3">
      <c r="A163" s="1" t="s">
        <v>369</v>
      </c>
      <c r="B163" s="2" t="s">
        <v>370</v>
      </c>
      <c r="C163" s="2" t="str">
        <f>TEXT(Raw_Data[[#This Row],[Order_Date]],"mmmm")</f>
        <v>October</v>
      </c>
      <c r="D163" s="1" t="s">
        <v>36</v>
      </c>
      <c r="E163" s="1" t="s">
        <v>53</v>
      </c>
      <c r="F163" s="1" t="s">
        <v>26</v>
      </c>
      <c r="G163" s="1" t="s">
        <v>27</v>
      </c>
      <c r="H163">
        <v>1</v>
      </c>
      <c r="J163">
        <v>2199</v>
      </c>
      <c r="K163" s="1" t="s">
        <v>23</v>
      </c>
      <c r="L163" s="1" t="s">
        <v>18</v>
      </c>
    </row>
    <row r="164" spans="1:12" x14ac:dyDescent="0.3">
      <c r="A164" s="1" t="s">
        <v>371</v>
      </c>
      <c r="B164" s="2" t="s">
        <v>108</v>
      </c>
      <c r="C164" s="2" t="str">
        <f>TEXT(Raw_Data[[#This Row],[Order_Date]],"mmmm")</f>
        <v>November</v>
      </c>
      <c r="D164" s="1" t="s">
        <v>49</v>
      </c>
      <c r="E164" s="1" t="s">
        <v>50</v>
      </c>
      <c r="F164" s="1" t="s">
        <v>21</v>
      </c>
      <c r="G164" s="1" t="s">
        <v>22</v>
      </c>
      <c r="H164">
        <v>3</v>
      </c>
      <c r="I164">
        <v>249</v>
      </c>
      <c r="J164">
        <v>747</v>
      </c>
      <c r="K164" s="1" t="s">
        <v>44</v>
      </c>
      <c r="L164" s="1" t="s">
        <v>18</v>
      </c>
    </row>
    <row r="165" spans="1:12" x14ac:dyDescent="0.3">
      <c r="A165" s="1" t="s">
        <v>372</v>
      </c>
      <c r="B165" s="2" t="s">
        <v>373</v>
      </c>
      <c r="C165" s="2" t="str">
        <f>TEXT(Raw_Data[[#This Row],[Order_Date]],"mmmm")</f>
        <v>August</v>
      </c>
      <c r="D165" s="1" t="s">
        <v>25</v>
      </c>
      <c r="E165" s="1" t="s">
        <v>37</v>
      </c>
      <c r="F165" s="1" t="s">
        <v>46</v>
      </c>
      <c r="G165" s="1" t="s">
        <v>16</v>
      </c>
      <c r="H165">
        <v>1</v>
      </c>
      <c r="I165">
        <v>1499</v>
      </c>
      <c r="J165">
        <v>1499</v>
      </c>
      <c r="K165" s="1" t="s">
        <v>17</v>
      </c>
      <c r="L165" s="1" t="s">
        <v>18</v>
      </c>
    </row>
    <row r="166" spans="1:12" x14ac:dyDescent="0.3">
      <c r="A166" s="1" t="s">
        <v>374</v>
      </c>
      <c r="B166" s="2" t="s">
        <v>83</v>
      </c>
      <c r="C166" s="2" t="str">
        <f>TEXT(Raw_Data[[#This Row],[Order_Date]],"mmmm")</f>
        <v>June</v>
      </c>
      <c r="D166" s="1" t="s">
        <v>31</v>
      </c>
      <c r="E166" s="1" t="s">
        <v>56</v>
      </c>
      <c r="F166" s="1" t="s">
        <v>26</v>
      </c>
      <c r="G166" s="1" t="s">
        <v>27</v>
      </c>
      <c r="H166">
        <v>1</v>
      </c>
      <c r="I166">
        <v>2199</v>
      </c>
      <c r="J166">
        <v>2199</v>
      </c>
      <c r="K166" s="1" t="s">
        <v>28</v>
      </c>
      <c r="L166" s="1" t="s">
        <v>29</v>
      </c>
    </row>
    <row r="167" spans="1:12" x14ac:dyDescent="0.3">
      <c r="A167" s="1" t="s">
        <v>375</v>
      </c>
      <c r="B167" s="2" t="s">
        <v>376</v>
      </c>
      <c r="C167" s="2" t="str">
        <f>TEXT(Raw_Data[[#This Row],[Order_Date]],"mmmm")</f>
        <v>November</v>
      </c>
      <c r="D167" s="1" t="s">
        <v>13</v>
      </c>
      <c r="E167" s="1" t="s">
        <v>37</v>
      </c>
      <c r="F167" s="1" t="s">
        <v>63</v>
      </c>
      <c r="G167" s="1" t="s">
        <v>27</v>
      </c>
      <c r="H167">
        <v>1</v>
      </c>
      <c r="I167">
        <v>1799</v>
      </c>
      <c r="J167">
        <v>1799</v>
      </c>
      <c r="K167" s="1" t="s">
        <v>54</v>
      </c>
      <c r="L167" s="1" t="s">
        <v>18</v>
      </c>
    </row>
    <row r="168" spans="1:12" x14ac:dyDescent="0.3">
      <c r="A168" s="1" t="s">
        <v>377</v>
      </c>
      <c r="B168" s="2" t="s">
        <v>378</v>
      </c>
      <c r="C168" s="2" t="str">
        <f>TEXT(Raw_Data[[#This Row],[Order_Date]],"mmmm")</f>
        <v>March</v>
      </c>
      <c r="D168" s="1" t="s">
        <v>36</v>
      </c>
      <c r="E168" s="1" t="s">
        <v>56</v>
      </c>
      <c r="F168" s="1" t="s">
        <v>34</v>
      </c>
      <c r="G168" s="1" t="s">
        <v>16</v>
      </c>
      <c r="H168">
        <v>3</v>
      </c>
      <c r="I168">
        <v>999</v>
      </c>
      <c r="J168">
        <v>2997</v>
      </c>
      <c r="K168" s="1" t="s">
        <v>44</v>
      </c>
      <c r="L168" s="1" t="s">
        <v>29</v>
      </c>
    </row>
    <row r="169" spans="1:12" x14ac:dyDescent="0.3">
      <c r="A169" s="1" t="s">
        <v>379</v>
      </c>
      <c r="B169" s="2" t="s">
        <v>380</v>
      </c>
      <c r="C169" s="2" t="str">
        <f>TEXT(Raw_Data[[#This Row],[Order_Date]],"mmmm")</f>
        <v>April</v>
      </c>
      <c r="D169" s="1" t="s">
        <v>52</v>
      </c>
      <c r="E169" s="1" t="s">
        <v>50</v>
      </c>
      <c r="F169" s="1" t="s">
        <v>38</v>
      </c>
      <c r="G169" s="1" t="s">
        <v>27</v>
      </c>
      <c r="H169">
        <v>3</v>
      </c>
      <c r="I169">
        <v>12499</v>
      </c>
      <c r="J169">
        <v>37497</v>
      </c>
      <c r="K169" s="1" t="s">
        <v>54</v>
      </c>
      <c r="L169" s="1" t="s">
        <v>47</v>
      </c>
    </row>
    <row r="170" spans="1:12" x14ac:dyDescent="0.3">
      <c r="A170" s="1" t="s">
        <v>381</v>
      </c>
      <c r="B170" s="2" t="s">
        <v>382</v>
      </c>
      <c r="C170" s="2" t="str">
        <f>TEXT(Raw_Data[[#This Row],[Order_Date]],"mmmm")</f>
        <v>August</v>
      </c>
      <c r="D170" s="1" t="s">
        <v>39</v>
      </c>
      <c r="E170" s="1" t="s">
        <v>56</v>
      </c>
      <c r="F170" s="1" t="s">
        <v>63</v>
      </c>
      <c r="G170" s="1" t="s">
        <v>27</v>
      </c>
      <c r="H170">
        <v>1</v>
      </c>
      <c r="I170">
        <v>1799</v>
      </c>
      <c r="J170">
        <v>1799</v>
      </c>
      <c r="K170" s="1" t="s">
        <v>28</v>
      </c>
      <c r="L170" s="1" t="s">
        <v>18</v>
      </c>
    </row>
    <row r="171" spans="1:12" x14ac:dyDescent="0.3">
      <c r="A171" s="1" t="s">
        <v>383</v>
      </c>
      <c r="B171" s="2" t="s">
        <v>384</v>
      </c>
      <c r="C171" s="2" t="str">
        <f>TEXT(Raw_Data[[#This Row],[Order_Date]],"mmmm")</f>
        <v>June</v>
      </c>
      <c r="D171" s="1" t="s">
        <v>39</v>
      </c>
      <c r="E171" s="1" t="s">
        <v>58</v>
      </c>
      <c r="F171" s="1" t="s">
        <v>21</v>
      </c>
      <c r="G171" s="1" t="s">
        <v>22</v>
      </c>
      <c r="H171">
        <v>3</v>
      </c>
      <c r="I171">
        <v>249</v>
      </c>
      <c r="J171">
        <v>747</v>
      </c>
      <c r="K171" s="1" t="s">
        <v>54</v>
      </c>
      <c r="L171" s="1" t="s">
        <v>18</v>
      </c>
    </row>
    <row r="172" spans="1:12" x14ac:dyDescent="0.3">
      <c r="A172" s="1" t="s">
        <v>385</v>
      </c>
      <c r="B172" s="2" t="s">
        <v>386</v>
      </c>
      <c r="C172" s="2" t="str">
        <f>TEXT(Raw_Data[[#This Row],[Order_Date]],"mmmm")</f>
        <v>November</v>
      </c>
      <c r="D172" s="1" t="s">
        <v>19</v>
      </c>
      <c r="E172" s="1" t="s">
        <v>53</v>
      </c>
      <c r="F172" s="1" t="s">
        <v>63</v>
      </c>
      <c r="G172" s="1" t="s">
        <v>27</v>
      </c>
      <c r="H172">
        <v>4</v>
      </c>
      <c r="I172">
        <v>1799</v>
      </c>
      <c r="J172">
        <v>7196</v>
      </c>
      <c r="K172" s="1" t="s">
        <v>44</v>
      </c>
      <c r="L172" s="1" t="s">
        <v>18</v>
      </c>
    </row>
    <row r="173" spans="1:12" x14ac:dyDescent="0.3">
      <c r="A173" s="1" t="s">
        <v>387</v>
      </c>
      <c r="B173" s="2" t="s">
        <v>388</v>
      </c>
      <c r="C173" s="2" t="str">
        <f>TEXT(Raw_Data[[#This Row],[Order_Date]],"mmmm")</f>
        <v>June</v>
      </c>
      <c r="D173" s="1" t="s">
        <v>19</v>
      </c>
      <c r="E173" s="1" t="s">
        <v>37</v>
      </c>
      <c r="F173" s="1" t="s">
        <v>80</v>
      </c>
      <c r="G173" s="1" t="s">
        <v>81</v>
      </c>
      <c r="H173">
        <v>1</v>
      </c>
      <c r="I173">
        <v>1299</v>
      </c>
      <c r="J173">
        <v>1299</v>
      </c>
      <c r="K173" s="1" t="s">
        <v>23</v>
      </c>
      <c r="L173" s="1" t="s">
        <v>18</v>
      </c>
    </row>
    <row r="174" spans="1:12" x14ac:dyDescent="0.3">
      <c r="A174" s="1" t="s">
        <v>389</v>
      </c>
      <c r="B174" s="2" t="s">
        <v>390</v>
      </c>
      <c r="C174" s="2" t="str">
        <f>TEXT(Raw_Data[[#This Row],[Order_Date]],"mmmm")</f>
        <v>September</v>
      </c>
      <c r="D174" s="1" t="s">
        <v>49</v>
      </c>
      <c r="E174" s="1" t="s">
        <v>20</v>
      </c>
      <c r="F174" s="1" t="s">
        <v>38</v>
      </c>
      <c r="G174" s="1" t="s">
        <v>27</v>
      </c>
      <c r="H174">
        <v>3</v>
      </c>
      <c r="I174">
        <v>12499</v>
      </c>
      <c r="J174">
        <v>37497</v>
      </c>
      <c r="K174" s="1" t="s">
        <v>17</v>
      </c>
      <c r="L174" s="1" t="s">
        <v>47</v>
      </c>
    </row>
    <row r="175" spans="1:12" x14ac:dyDescent="0.3">
      <c r="A175" s="1" t="s">
        <v>391</v>
      </c>
      <c r="B175" s="2" t="s">
        <v>69</v>
      </c>
      <c r="C175" s="2" t="str">
        <f>TEXT(Raw_Data[[#This Row],[Order_Date]],"mmmm")</f>
        <v>March</v>
      </c>
      <c r="D175" s="1" t="s">
        <v>39</v>
      </c>
      <c r="E175" s="1" t="s">
        <v>14</v>
      </c>
      <c r="F175" s="1" t="s">
        <v>80</v>
      </c>
      <c r="G175" s="1" t="s">
        <v>81</v>
      </c>
      <c r="H175">
        <v>1</v>
      </c>
      <c r="I175">
        <v>1299</v>
      </c>
      <c r="J175">
        <v>1299</v>
      </c>
      <c r="K175" s="1" t="s">
        <v>54</v>
      </c>
      <c r="L175" s="1" t="s">
        <v>18</v>
      </c>
    </row>
    <row r="176" spans="1:12" x14ac:dyDescent="0.3">
      <c r="A176" s="1" t="s">
        <v>392</v>
      </c>
      <c r="B176" s="2" t="s">
        <v>73</v>
      </c>
      <c r="C176" s="2" t="str">
        <f>TEXT(Raw_Data[[#This Row],[Order_Date]],"mmmm")</f>
        <v>January</v>
      </c>
      <c r="D176" s="1" t="s">
        <v>49</v>
      </c>
      <c r="E176" s="1" t="s">
        <v>50</v>
      </c>
      <c r="F176" s="1" t="s">
        <v>38</v>
      </c>
      <c r="G176" s="1" t="s">
        <v>27</v>
      </c>
      <c r="H176">
        <v>5</v>
      </c>
      <c r="I176">
        <v>12499</v>
      </c>
      <c r="J176">
        <v>62495</v>
      </c>
      <c r="K176" s="1" t="s">
        <v>54</v>
      </c>
      <c r="L176" s="1" t="s">
        <v>18</v>
      </c>
    </row>
    <row r="177" spans="1:12" x14ac:dyDescent="0.3">
      <c r="A177" s="1" t="s">
        <v>393</v>
      </c>
      <c r="B177" s="2" t="s">
        <v>146</v>
      </c>
      <c r="C177" s="2" t="str">
        <f>TEXT(Raw_Data[[#This Row],[Order_Date]],"mmmm")</f>
        <v>October</v>
      </c>
      <c r="D177" s="1" t="s">
        <v>49</v>
      </c>
      <c r="E177" s="1" t="s">
        <v>33</v>
      </c>
      <c r="F177" s="1" t="s">
        <v>80</v>
      </c>
      <c r="G177" s="1" t="s">
        <v>81</v>
      </c>
      <c r="H177">
        <v>1</v>
      </c>
      <c r="I177">
        <v>1299</v>
      </c>
      <c r="J177">
        <v>1299</v>
      </c>
      <c r="K177" s="1" t="s">
        <v>44</v>
      </c>
      <c r="L177" s="1" t="s">
        <v>18</v>
      </c>
    </row>
    <row r="178" spans="1:12" x14ac:dyDescent="0.3">
      <c r="A178" s="1" t="s">
        <v>394</v>
      </c>
      <c r="B178" s="2" t="s">
        <v>232</v>
      </c>
      <c r="C178" s="2" t="str">
        <f>TEXT(Raw_Data[[#This Row],[Order_Date]],"mmmm")</f>
        <v>February</v>
      </c>
      <c r="D178" s="1" t="s">
        <v>25</v>
      </c>
      <c r="E178" s="1" t="s">
        <v>53</v>
      </c>
      <c r="F178" s="1" t="s">
        <v>63</v>
      </c>
      <c r="G178" s="1" t="s">
        <v>27</v>
      </c>
      <c r="H178">
        <v>2</v>
      </c>
      <c r="I178">
        <v>1799</v>
      </c>
      <c r="J178">
        <v>3598</v>
      </c>
      <c r="K178" s="1" t="s">
        <v>44</v>
      </c>
      <c r="L178" s="1" t="s">
        <v>47</v>
      </c>
    </row>
    <row r="179" spans="1:12" x14ac:dyDescent="0.3">
      <c r="A179" s="1" t="s">
        <v>395</v>
      </c>
      <c r="B179" s="2" t="s">
        <v>396</v>
      </c>
      <c r="C179" s="2" t="str">
        <f>TEXT(Raw_Data[[#This Row],[Order_Date]],"mmmm")</f>
        <v>March</v>
      </c>
      <c r="D179" s="1" t="s">
        <v>31</v>
      </c>
      <c r="E179" s="1" t="s">
        <v>37</v>
      </c>
      <c r="F179" s="1" t="s">
        <v>38</v>
      </c>
      <c r="G179" s="1" t="s">
        <v>27</v>
      </c>
      <c r="H179">
        <v>5</v>
      </c>
      <c r="I179">
        <v>12499</v>
      </c>
      <c r="J179">
        <v>62495</v>
      </c>
      <c r="K179" s="1" t="s">
        <v>44</v>
      </c>
      <c r="L179" s="1" t="s">
        <v>18</v>
      </c>
    </row>
    <row r="180" spans="1:12" x14ac:dyDescent="0.3">
      <c r="A180" s="1" t="s">
        <v>397</v>
      </c>
      <c r="B180" s="2" t="s">
        <v>175</v>
      </c>
      <c r="C180" s="2" t="str">
        <f>TEXT(Raw_Data[[#This Row],[Order_Date]],"mmmm")</f>
        <v>December</v>
      </c>
      <c r="D180" s="1" t="s">
        <v>52</v>
      </c>
      <c r="E180" s="1" t="s">
        <v>14</v>
      </c>
      <c r="F180" s="1" t="s">
        <v>41</v>
      </c>
      <c r="G180" s="1" t="s">
        <v>42</v>
      </c>
      <c r="H180">
        <v>3</v>
      </c>
      <c r="I180">
        <v>7499</v>
      </c>
      <c r="J180">
        <v>22497</v>
      </c>
      <c r="K180" s="1" t="s">
        <v>23</v>
      </c>
      <c r="L180" s="1" t="s">
        <v>18</v>
      </c>
    </row>
    <row r="181" spans="1:12" x14ac:dyDescent="0.3">
      <c r="A181" s="1" t="s">
        <v>398</v>
      </c>
      <c r="B181" s="2" t="s">
        <v>399</v>
      </c>
      <c r="C181" s="2" t="str">
        <f>TEXT(Raw_Data[[#This Row],[Order_Date]],"mmmm")</f>
        <v>March</v>
      </c>
      <c r="D181" s="1" t="s">
        <v>52</v>
      </c>
      <c r="E181" s="1" t="s">
        <v>58</v>
      </c>
      <c r="F181" s="1" t="s">
        <v>15</v>
      </c>
      <c r="G181" s="1" t="s">
        <v>16</v>
      </c>
      <c r="H181">
        <v>4</v>
      </c>
      <c r="I181">
        <v>899</v>
      </c>
      <c r="J181">
        <v>3596</v>
      </c>
      <c r="K181" s="1" t="s">
        <v>54</v>
      </c>
      <c r="L181" s="1" t="s">
        <v>18</v>
      </c>
    </row>
    <row r="182" spans="1:12" x14ac:dyDescent="0.3">
      <c r="A182" s="1" t="s">
        <v>400</v>
      </c>
      <c r="B182" s="2" t="s">
        <v>401</v>
      </c>
      <c r="C182" s="2" t="str">
        <f>TEXT(Raw_Data[[#This Row],[Order_Date]],"mmmm")</f>
        <v>October</v>
      </c>
      <c r="D182" s="1" t="s">
        <v>31</v>
      </c>
      <c r="E182" s="1" t="s">
        <v>37</v>
      </c>
      <c r="F182" s="1" t="s">
        <v>15</v>
      </c>
      <c r="G182" s="1" t="s">
        <v>16</v>
      </c>
      <c r="H182">
        <v>5</v>
      </c>
      <c r="I182">
        <v>899</v>
      </c>
      <c r="J182">
        <v>4495</v>
      </c>
      <c r="K182" s="1" t="s">
        <v>17</v>
      </c>
      <c r="L182" s="1" t="s">
        <v>18</v>
      </c>
    </row>
    <row r="183" spans="1:12" x14ac:dyDescent="0.3">
      <c r="A183" s="1" t="s">
        <v>402</v>
      </c>
      <c r="B183" s="2" t="s">
        <v>403</v>
      </c>
      <c r="C183" s="2" t="str">
        <f>TEXT(Raw_Data[[#This Row],[Order_Date]],"mmmm")</f>
        <v>April</v>
      </c>
      <c r="D183" s="1" t="s">
        <v>39</v>
      </c>
      <c r="E183" s="1" t="s">
        <v>14</v>
      </c>
      <c r="F183" s="1" t="s">
        <v>34</v>
      </c>
      <c r="G183" s="1" t="s">
        <v>16</v>
      </c>
      <c r="H183">
        <v>5</v>
      </c>
      <c r="I183">
        <v>999</v>
      </c>
      <c r="J183">
        <v>4995</v>
      </c>
      <c r="K183" s="1" t="s">
        <v>17</v>
      </c>
      <c r="L183" s="1" t="s">
        <v>18</v>
      </c>
    </row>
    <row r="184" spans="1:12" x14ac:dyDescent="0.3">
      <c r="A184" s="1" t="s">
        <v>404</v>
      </c>
      <c r="B184" s="2" t="s">
        <v>143</v>
      </c>
      <c r="C184" s="2" t="str">
        <f>TEXT(Raw_Data[[#This Row],[Order_Date]],"mmmm")</f>
        <v>July</v>
      </c>
      <c r="D184" s="1" t="s">
        <v>36</v>
      </c>
      <c r="E184" s="1" t="s">
        <v>50</v>
      </c>
      <c r="F184" s="1" t="s">
        <v>80</v>
      </c>
      <c r="G184" s="1" t="s">
        <v>81</v>
      </c>
      <c r="H184">
        <v>1</v>
      </c>
      <c r="I184">
        <v>1299</v>
      </c>
      <c r="J184">
        <v>1299</v>
      </c>
      <c r="K184" s="1" t="s">
        <v>28</v>
      </c>
      <c r="L184" s="1" t="s">
        <v>18</v>
      </c>
    </row>
    <row r="185" spans="1:12" x14ac:dyDescent="0.3">
      <c r="A185" s="1" t="s">
        <v>405</v>
      </c>
      <c r="B185" s="2" t="s">
        <v>406</v>
      </c>
      <c r="C185" s="2" t="str">
        <f>TEXT(Raw_Data[[#This Row],[Order_Date]],"mmmm")</f>
        <v>February</v>
      </c>
      <c r="D185" s="1" t="s">
        <v>31</v>
      </c>
      <c r="E185" s="1" t="s">
        <v>56</v>
      </c>
      <c r="F185" s="1" t="s">
        <v>41</v>
      </c>
      <c r="G185" s="1" t="s">
        <v>42</v>
      </c>
      <c r="H185">
        <v>1</v>
      </c>
      <c r="I185">
        <v>7499</v>
      </c>
      <c r="J185">
        <v>7499</v>
      </c>
      <c r="K185" s="1" t="s">
        <v>44</v>
      </c>
      <c r="L185" s="1" t="s">
        <v>47</v>
      </c>
    </row>
    <row r="186" spans="1:12" x14ac:dyDescent="0.3">
      <c r="A186" s="1" t="s">
        <v>407</v>
      </c>
      <c r="B186" s="2" t="s">
        <v>408</v>
      </c>
      <c r="C186" s="2" t="str">
        <f>TEXT(Raw_Data[[#This Row],[Order_Date]],"mmmm")</f>
        <v>October</v>
      </c>
      <c r="D186" s="1" t="s">
        <v>39</v>
      </c>
      <c r="E186" s="1" t="s">
        <v>53</v>
      </c>
      <c r="F186" s="1" t="s">
        <v>38</v>
      </c>
      <c r="G186" s="1" t="s">
        <v>27</v>
      </c>
      <c r="H186">
        <v>4</v>
      </c>
      <c r="I186">
        <v>12499</v>
      </c>
      <c r="J186">
        <v>49996</v>
      </c>
      <c r="K186" s="1" t="s">
        <v>54</v>
      </c>
      <c r="L186" s="1" t="s">
        <v>18</v>
      </c>
    </row>
    <row r="187" spans="1:12" x14ac:dyDescent="0.3">
      <c r="A187" s="1" t="s">
        <v>409</v>
      </c>
      <c r="B187" s="2" t="s">
        <v>59</v>
      </c>
      <c r="C187" s="2" t="str">
        <f>TEXT(Raw_Data[[#This Row],[Order_Date]],"mmmm")</f>
        <v>December</v>
      </c>
      <c r="D187" s="1" t="s">
        <v>36</v>
      </c>
      <c r="E187" s="1" t="s">
        <v>53</v>
      </c>
      <c r="F187" s="1" t="s">
        <v>80</v>
      </c>
      <c r="G187" s="1" t="s">
        <v>81</v>
      </c>
      <c r="H187">
        <v>4</v>
      </c>
      <c r="I187">
        <v>1299</v>
      </c>
      <c r="J187">
        <v>5196</v>
      </c>
      <c r="K187" s="1" t="s">
        <v>28</v>
      </c>
      <c r="L187" s="1" t="s">
        <v>47</v>
      </c>
    </row>
    <row r="188" spans="1:12" x14ac:dyDescent="0.3">
      <c r="A188" s="1" t="s">
        <v>410</v>
      </c>
      <c r="B188" s="2" t="s">
        <v>411</v>
      </c>
      <c r="C188" s="2" t="str">
        <f>TEXT(Raw_Data[[#This Row],[Order_Date]],"mmmm")</f>
        <v>August</v>
      </c>
      <c r="D188" s="1" t="s">
        <v>25</v>
      </c>
      <c r="E188" s="1" t="s">
        <v>58</v>
      </c>
      <c r="F188" s="1" t="s">
        <v>46</v>
      </c>
      <c r="G188" s="1" t="s">
        <v>16</v>
      </c>
      <c r="H188">
        <v>2</v>
      </c>
      <c r="I188">
        <v>1499</v>
      </c>
      <c r="J188">
        <v>2998</v>
      </c>
      <c r="K188" s="1" t="s">
        <v>28</v>
      </c>
      <c r="L188" s="1" t="s">
        <v>18</v>
      </c>
    </row>
    <row r="189" spans="1:12" x14ac:dyDescent="0.3">
      <c r="A189" s="1" t="s">
        <v>412</v>
      </c>
      <c r="B189" s="2" t="s">
        <v>343</v>
      </c>
      <c r="C189" s="2" t="str">
        <f>TEXT(Raw_Data[[#This Row],[Order_Date]],"mmmm")</f>
        <v>March</v>
      </c>
      <c r="D189" s="1" t="s">
        <v>36</v>
      </c>
      <c r="E189" s="1" t="s">
        <v>14</v>
      </c>
      <c r="F189" s="1" t="s">
        <v>63</v>
      </c>
      <c r="G189" s="1" t="s">
        <v>27</v>
      </c>
      <c r="H189">
        <v>2</v>
      </c>
      <c r="I189">
        <v>1799</v>
      </c>
      <c r="J189">
        <v>3598</v>
      </c>
      <c r="K189" s="1" t="s">
        <v>54</v>
      </c>
      <c r="L189" s="1" t="s">
        <v>47</v>
      </c>
    </row>
    <row r="190" spans="1:12" x14ac:dyDescent="0.3">
      <c r="A190" s="1" t="s">
        <v>413</v>
      </c>
      <c r="B190" s="2" t="s">
        <v>86</v>
      </c>
      <c r="C190" s="2" t="str">
        <f>TEXT(Raw_Data[[#This Row],[Order_Date]],"mmmm")</f>
        <v>May</v>
      </c>
      <c r="D190" s="1" t="s">
        <v>13</v>
      </c>
      <c r="E190" s="1" t="s">
        <v>37</v>
      </c>
      <c r="F190" s="1" t="s">
        <v>63</v>
      </c>
      <c r="G190" s="1" t="s">
        <v>27</v>
      </c>
      <c r="H190">
        <v>1</v>
      </c>
      <c r="I190">
        <v>1799</v>
      </c>
      <c r="J190">
        <v>1799</v>
      </c>
      <c r="K190" s="1" t="s">
        <v>17</v>
      </c>
      <c r="L190" s="1" t="s">
        <v>18</v>
      </c>
    </row>
    <row r="191" spans="1:12" x14ac:dyDescent="0.3">
      <c r="A191" s="1" t="s">
        <v>414</v>
      </c>
      <c r="B191" s="2" t="s">
        <v>103</v>
      </c>
      <c r="C191" s="2" t="str">
        <f>TEXT(Raw_Data[[#This Row],[Order_Date]],"mmmm")</f>
        <v>February</v>
      </c>
      <c r="D191" s="1" t="s">
        <v>49</v>
      </c>
      <c r="E191" s="1" t="s">
        <v>53</v>
      </c>
      <c r="F191" s="1" t="s">
        <v>41</v>
      </c>
      <c r="G191" s="1" t="s">
        <v>42</v>
      </c>
      <c r="H191">
        <v>5</v>
      </c>
      <c r="I191">
        <v>7499</v>
      </c>
      <c r="J191">
        <v>37495</v>
      </c>
      <c r="K191" s="1" t="s">
        <v>17</v>
      </c>
      <c r="L191" s="1" t="s">
        <v>47</v>
      </c>
    </row>
    <row r="192" spans="1:12" x14ac:dyDescent="0.3">
      <c r="A192" s="1" t="s">
        <v>415</v>
      </c>
      <c r="B192" s="2" t="s">
        <v>115</v>
      </c>
      <c r="C192" s="2" t="str">
        <f>TEXT(Raw_Data[[#This Row],[Order_Date]],"mmmm")</f>
        <v>October</v>
      </c>
      <c r="D192" s="1" t="s">
        <v>25</v>
      </c>
      <c r="E192" s="1" t="s">
        <v>20</v>
      </c>
      <c r="F192" s="1" t="s">
        <v>41</v>
      </c>
      <c r="G192" s="1" t="s">
        <v>42</v>
      </c>
      <c r="H192">
        <v>3</v>
      </c>
      <c r="I192">
        <v>7499</v>
      </c>
      <c r="J192">
        <v>22497</v>
      </c>
      <c r="K192" s="1" t="s">
        <v>23</v>
      </c>
      <c r="L192" s="1" t="s">
        <v>18</v>
      </c>
    </row>
    <row r="193" spans="1:12" x14ac:dyDescent="0.3">
      <c r="A193" s="1" t="s">
        <v>416</v>
      </c>
      <c r="B193" s="2" t="s">
        <v>77</v>
      </c>
      <c r="C193" s="2" t="str">
        <f>TEXT(Raw_Data[[#This Row],[Order_Date]],"mmmm")</f>
        <v>November</v>
      </c>
      <c r="D193" s="1" t="s">
        <v>13</v>
      </c>
      <c r="E193" s="1" t="s">
        <v>56</v>
      </c>
      <c r="F193" s="1" t="s">
        <v>41</v>
      </c>
      <c r="G193" s="1" t="s">
        <v>42</v>
      </c>
      <c r="H193">
        <v>3</v>
      </c>
      <c r="I193">
        <v>7499</v>
      </c>
      <c r="J193">
        <v>22497</v>
      </c>
      <c r="K193" s="1" t="s">
        <v>28</v>
      </c>
      <c r="L193" s="1" t="s">
        <v>18</v>
      </c>
    </row>
    <row r="194" spans="1:12" x14ac:dyDescent="0.3">
      <c r="A194" s="1" t="s">
        <v>417</v>
      </c>
      <c r="B194" s="2" t="s">
        <v>418</v>
      </c>
      <c r="C194" s="2" t="str">
        <f>TEXT(Raw_Data[[#This Row],[Order_Date]],"mmmm")</f>
        <v>May</v>
      </c>
      <c r="D194" s="1" t="s">
        <v>31</v>
      </c>
      <c r="E194" s="1" t="s">
        <v>50</v>
      </c>
      <c r="F194" s="1" t="s">
        <v>80</v>
      </c>
      <c r="G194" s="1" t="s">
        <v>81</v>
      </c>
      <c r="H194">
        <v>5</v>
      </c>
      <c r="I194">
        <v>1299</v>
      </c>
      <c r="J194">
        <v>6495</v>
      </c>
      <c r="K194" s="1" t="s">
        <v>17</v>
      </c>
      <c r="L194" s="1" t="s">
        <v>29</v>
      </c>
    </row>
    <row r="195" spans="1:12" x14ac:dyDescent="0.3">
      <c r="A195" s="1" t="s">
        <v>419</v>
      </c>
      <c r="B195" s="2" t="s">
        <v>420</v>
      </c>
      <c r="C195" s="2" t="str">
        <f>TEXT(Raw_Data[[#This Row],[Order_Date]],"mmmm")</f>
        <v>April</v>
      </c>
      <c r="D195" s="1" t="s">
        <v>36</v>
      </c>
      <c r="E195" s="1" t="s">
        <v>53</v>
      </c>
      <c r="F195" s="1" t="s">
        <v>80</v>
      </c>
      <c r="G195" s="1" t="s">
        <v>81</v>
      </c>
      <c r="H195">
        <v>4</v>
      </c>
      <c r="I195">
        <v>1299</v>
      </c>
      <c r="J195">
        <v>5196</v>
      </c>
      <c r="K195" s="1" t="s">
        <v>54</v>
      </c>
      <c r="L195" s="1" t="s">
        <v>18</v>
      </c>
    </row>
    <row r="196" spans="1:12" x14ac:dyDescent="0.3">
      <c r="A196" s="1" t="s">
        <v>421</v>
      </c>
      <c r="B196" s="2" t="s">
        <v>422</v>
      </c>
      <c r="C196" s="2" t="str">
        <f>TEXT(Raw_Data[[#This Row],[Order_Date]],"mmmm")</f>
        <v>March</v>
      </c>
      <c r="D196" s="1" t="s">
        <v>36</v>
      </c>
      <c r="E196" s="1" t="s">
        <v>58</v>
      </c>
      <c r="F196" s="1" t="s">
        <v>34</v>
      </c>
      <c r="G196" s="1" t="s">
        <v>16</v>
      </c>
      <c r="H196">
        <v>4</v>
      </c>
      <c r="I196">
        <v>999</v>
      </c>
      <c r="J196">
        <v>3996</v>
      </c>
      <c r="K196" s="1" t="s">
        <v>54</v>
      </c>
      <c r="L196" s="1" t="s">
        <v>18</v>
      </c>
    </row>
    <row r="197" spans="1:12" x14ac:dyDescent="0.3">
      <c r="A197" s="1" t="s">
        <v>423</v>
      </c>
      <c r="B197" s="2" t="s">
        <v>165</v>
      </c>
      <c r="C197" s="2" t="str">
        <f>TEXT(Raw_Data[[#This Row],[Order_Date]],"mmmm")</f>
        <v>May</v>
      </c>
      <c r="D197" s="1" t="s">
        <v>52</v>
      </c>
      <c r="E197" s="1" t="s">
        <v>14</v>
      </c>
      <c r="F197" s="1" t="s">
        <v>80</v>
      </c>
      <c r="G197" s="1" t="s">
        <v>81</v>
      </c>
      <c r="H197">
        <v>1</v>
      </c>
      <c r="I197">
        <v>1299</v>
      </c>
      <c r="J197">
        <v>1299</v>
      </c>
      <c r="K197" s="1" t="s">
        <v>17</v>
      </c>
      <c r="L197" s="1" t="s">
        <v>18</v>
      </c>
    </row>
    <row r="198" spans="1:12" x14ac:dyDescent="0.3">
      <c r="A198" s="1" t="s">
        <v>424</v>
      </c>
      <c r="B198" s="2" t="s">
        <v>425</v>
      </c>
      <c r="C198" s="2" t="str">
        <f>TEXT(Raw_Data[[#This Row],[Order_Date]],"mmmm")</f>
        <v>July</v>
      </c>
      <c r="D198" s="1" t="s">
        <v>19</v>
      </c>
      <c r="E198" s="1" t="s">
        <v>14</v>
      </c>
      <c r="F198" s="1" t="s">
        <v>65</v>
      </c>
      <c r="G198" s="1" t="s">
        <v>16</v>
      </c>
      <c r="H198">
        <v>3</v>
      </c>
      <c r="I198">
        <v>599</v>
      </c>
      <c r="J198">
        <v>1797</v>
      </c>
      <c r="K198" s="1" t="s">
        <v>17</v>
      </c>
      <c r="L198" s="1" t="s">
        <v>18</v>
      </c>
    </row>
    <row r="199" spans="1:12" x14ac:dyDescent="0.3">
      <c r="A199" s="1" t="s">
        <v>426</v>
      </c>
      <c r="B199" s="2" t="s">
        <v>427</v>
      </c>
      <c r="C199" s="2" t="str">
        <f>TEXT(Raw_Data[[#This Row],[Order_Date]],"mmmm")</f>
        <v>April</v>
      </c>
      <c r="D199" s="1" t="s">
        <v>49</v>
      </c>
      <c r="E199" s="1" t="s">
        <v>50</v>
      </c>
      <c r="F199" s="1" t="s">
        <v>41</v>
      </c>
      <c r="G199" s="1" t="s">
        <v>42</v>
      </c>
      <c r="H199">
        <v>3</v>
      </c>
      <c r="I199">
        <v>7499</v>
      </c>
      <c r="J199">
        <v>22497</v>
      </c>
      <c r="K199" s="1" t="s">
        <v>28</v>
      </c>
      <c r="L199" s="1" t="s">
        <v>29</v>
      </c>
    </row>
    <row r="200" spans="1:12" x14ac:dyDescent="0.3">
      <c r="A200" s="1" t="s">
        <v>428</v>
      </c>
      <c r="B200" s="2" t="s">
        <v>429</v>
      </c>
      <c r="C200" s="2" t="str">
        <f>TEXT(Raw_Data[[#This Row],[Order_Date]],"mmmm")</f>
        <v>September</v>
      </c>
      <c r="D200" s="1" t="s">
        <v>25</v>
      </c>
      <c r="E200" s="1" t="s">
        <v>58</v>
      </c>
      <c r="F200" s="1" t="s">
        <v>80</v>
      </c>
      <c r="G200" s="1" t="s">
        <v>81</v>
      </c>
      <c r="H200">
        <v>3</v>
      </c>
      <c r="I200">
        <v>1299</v>
      </c>
      <c r="J200">
        <v>3897</v>
      </c>
      <c r="K200" s="1" t="s">
        <v>44</v>
      </c>
      <c r="L200" s="1" t="s">
        <v>47</v>
      </c>
    </row>
    <row r="201" spans="1:12" x14ac:dyDescent="0.3">
      <c r="A201" s="1" t="s">
        <v>430</v>
      </c>
      <c r="B201" s="2" t="s">
        <v>431</v>
      </c>
      <c r="C201" s="2" t="str">
        <f>TEXT(Raw_Data[[#This Row],[Order_Date]],"mmmm")</f>
        <v>April</v>
      </c>
      <c r="D201" s="1" t="s">
        <v>36</v>
      </c>
      <c r="E201" s="1" t="s">
        <v>20</v>
      </c>
      <c r="F201" s="1" t="s">
        <v>80</v>
      </c>
      <c r="G201" s="1" t="s">
        <v>81</v>
      </c>
      <c r="H201">
        <v>2</v>
      </c>
      <c r="I201">
        <v>1299</v>
      </c>
      <c r="J201">
        <v>2598</v>
      </c>
      <c r="K201" s="1" t="s">
        <v>23</v>
      </c>
      <c r="L201" s="1" t="s">
        <v>18</v>
      </c>
    </row>
    <row r="202" spans="1:12" x14ac:dyDescent="0.3">
      <c r="A202" s="1" t="s">
        <v>432</v>
      </c>
      <c r="B202" s="2" t="s">
        <v>433</v>
      </c>
      <c r="C202" s="2" t="str">
        <f>TEXT(Raw_Data[[#This Row],[Order_Date]],"mmmm")</f>
        <v>December</v>
      </c>
      <c r="D202" s="1" t="s">
        <v>52</v>
      </c>
      <c r="E202" s="1" t="s">
        <v>37</v>
      </c>
      <c r="F202" s="1" t="s">
        <v>80</v>
      </c>
      <c r="G202" s="1" t="s">
        <v>81</v>
      </c>
      <c r="H202">
        <v>5</v>
      </c>
      <c r="I202">
        <v>1299</v>
      </c>
      <c r="J202">
        <v>6495</v>
      </c>
      <c r="K202" s="1" t="s">
        <v>28</v>
      </c>
      <c r="L202" s="1" t="s">
        <v>18</v>
      </c>
    </row>
    <row r="203" spans="1:12" x14ac:dyDescent="0.3">
      <c r="A203" s="1" t="s">
        <v>434</v>
      </c>
      <c r="B203" s="2" t="s">
        <v>435</v>
      </c>
      <c r="C203" s="2" t="str">
        <f>TEXT(Raw_Data[[#This Row],[Order_Date]],"mmmm")</f>
        <v>March</v>
      </c>
      <c r="D203" s="1" t="s">
        <v>31</v>
      </c>
      <c r="E203" s="1" t="s">
        <v>33</v>
      </c>
      <c r="F203" s="1" t="s">
        <v>15</v>
      </c>
      <c r="G203" s="1" t="s">
        <v>16</v>
      </c>
      <c r="H203">
        <v>4</v>
      </c>
      <c r="I203">
        <v>899</v>
      </c>
      <c r="J203">
        <v>3596</v>
      </c>
      <c r="K203" s="1" t="s">
        <v>44</v>
      </c>
      <c r="L203" s="1" t="s">
        <v>18</v>
      </c>
    </row>
    <row r="204" spans="1:12" x14ac:dyDescent="0.3">
      <c r="A204" s="1" t="s">
        <v>436</v>
      </c>
      <c r="B204" s="2" t="s">
        <v>111</v>
      </c>
      <c r="C204" s="2" t="str">
        <f>TEXT(Raw_Data[[#This Row],[Order_Date]],"mmmm")</f>
        <v>January</v>
      </c>
      <c r="D204" s="1" t="s">
        <v>13</v>
      </c>
      <c r="E204" s="1" t="s">
        <v>33</v>
      </c>
      <c r="F204" s="1" t="s">
        <v>65</v>
      </c>
      <c r="G204" s="1" t="s">
        <v>16</v>
      </c>
      <c r="H204">
        <v>4</v>
      </c>
      <c r="I204">
        <v>599</v>
      </c>
      <c r="J204">
        <v>2396</v>
      </c>
      <c r="K204" s="1" t="s">
        <v>28</v>
      </c>
      <c r="L204" s="1" t="s">
        <v>18</v>
      </c>
    </row>
    <row r="205" spans="1:12" x14ac:dyDescent="0.3">
      <c r="A205" s="1" t="s">
        <v>437</v>
      </c>
      <c r="B205" s="2" t="s">
        <v>24</v>
      </c>
      <c r="C205" s="2" t="str">
        <f>TEXT(Raw_Data[[#This Row],[Order_Date]],"mmmm")</f>
        <v>September</v>
      </c>
      <c r="D205" s="1" t="s">
        <v>52</v>
      </c>
      <c r="E205" s="1" t="s">
        <v>37</v>
      </c>
      <c r="F205" s="1" t="s">
        <v>15</v>
      </c>
      <c r="G205" s="1" t="s">
        <v>16</v>
      </c>
      <c r="H205">
        <v>4</v>
      </c>
      <c r="I205">
        <v>899</v>
      </c>
      <c r="J205">
        <v>3596</v>
      </c>
      <c r="K205" s="1" t="s">
        <v>28</v>
      </c>
      <c r="L205" s="1" t="s">
        <v>47</v>
      </c>
    </row>
    <row r="206" spans="1:12" x14ac:dyDescent="0.3">
      <c r="A206" s="1" t="s">
        <v>438</v>
      </c>
      <c r="B206" s="2" t="s">
        <v>277</v>
      </c>
      <c r="C206" s="2" t="str">
        <f>TEXT(Raw_Data[[#This Row],[Order_Date]],"mmmm")</f>
        <v>February</v>
      </c>
      <c r="D206" s="1" t="s">
        <v>19</v>
      </c>
      <c r="E206" s="1" t="s">
        <v>33</v>
      </c>
      <c r="F206" s="1" t="s">
        <v>15</v>
      </c>
      <c r="G206" s="1" t="s">
        <v>16</v>
      </c>
      <c r="H206">
        <v>2</v>
      </c>
      <c r="I206">
        <v>899</v>
      </c>
      <c r="J206">
        <v>1798</v>
      </c>
      <c r="K206" s="1" t="s">
        <v>54</v>
      </c>
      <c r="L206" s="1" t="s">
        <v>47</v>
      </c>
    </row>
    <row r="207" spans="1:12" x14ac:dyDescent="0.3">
      <c r="A207" s="1" t="s">
        <v>439</v>
      </c>
      <c r="B207" s="2" t="s">
        <v>440</v>
      </c>
      <c r="C207" s="2" t="str">
        <f>TEXT(Raw_Data[[#This Row],[Order_Date]],"mmmm")</f>
        <v>April</v>
      </c>
      <c r="D207" s="1" t="s">
        <v>19</v>
      </c>
      <c r="E207" s="1" t="s">
        <v>20</v>
      </c>
      <c r="F207" s="1" t="s">
        <v>34</v>
      </c>
      <c r="G207" s="1" t="s">
        <v>16</v>
      </c>
      <c r="H207">
        <v>2</v>
      </c>
      <c r="I207">
        <v>999</v>
      </c>
      <c r="J207">
        <v>1998</v>
      </c>
      <c r="K207" s="1" t="s">
        <v>23</v>
      </c>
      <c r="L207" s="1" t="s">
        <v>18</v>
      </c>
    </row>
    <row r="208" spans="1:12" x14ac:dyDescent="0.3">
      <c r="A208" s="1" t="s">
        <v>441</v>
      </c>
      <c r="B208" s="2" t="s">
        <v>102</v>
      </c>
      <c r="C208" s="2" t="str">
        <f>TEXT(Raw_Data[[#This Row],[Order_Date]],"mmmm")</f>
        <v>August</v>
      </c>
      <c r="D208" s="1" t="s">
        <v>52</v>
      </c>
      <c r="E208" s="1" t="s">
        <v>53</v>
      </c>
      <c r="F208" s="1" t="s">
        <v>46</v>
      </c>
      <c r="G208" s="1" t="s">
        <v>16</v>
      </c>
      <c r="H208">
        <v>3</v>
      </c>
      <c r="I208">
        <v>1499</v>
      </c>
      <c r="J208">
        <v>4497</v>
      </c>
      <c r="K208" s="1" t="s">
        <v>28</v>
      </c>
      <c r="L208" s="1" t="s">
        <v>47</v>
      </c>
    </row>
    <row r="209" spans="1:12" x14ac:dyDescent="0.3">
      <c r="A209" s="1" t="s">
        <v>442</v>
      </c>
      <c r="B209" s="2" t="s">
        <v>443</v>
      </c>
      <c r="C209" s="2" t="str">
        <f>TEXT(Raw_Data[[#This Row],[Order_Date]],"mmmm")</f>
        <v>November</v>
      </c>
      <c r="D209" s="1" t="s">
        <v>36</v>
      </c>
      <c r="E209" s="1" t="s">
        <v>53</v>
      </c>
      <c r="F209" s="1" t="s">
        <v>46</v>
      </c>
      <c r="G209" s="1" t="s">
        <v>16</v>
      </c>
      <c r="H209">
        <v>3</v>
      </c>
      <c r="I209">
        <v>1499</v>
      </c>
      <c r="J209">
        <v>4497</v>
      </c>
      <c r="K209" s="1" t="s">
        <v>44</v>
      </c>
      <c r="L209" s="1" t="s">
        <v>47</v>
      </c>
    </row>
    <row r="210" spans="1:12" x14ac:dyDescent="0.3">
      <c r="A210" s="1" t="s">
        <v>444</v>
      </c>
      <c r="B210" s="2" t="s">
        <v>445</v>
      </c>
      <c r="C210" s="2" t="str">
        <f>TEXT(Raw_Data[[#This Row],[Order_Date]],"mmmm")</f>
        <v>June</v>
      </c>
      <c r="D210" s="1" t="s">
        <v>52</v>
      </c>
      <c r="E210" s="1" t="s">
        <v>37</v>
      </c>
      <c r="F210" s="1" t="s">
        <v>63</v>
      </c>
      <c r="G210" s="1" t="s">
        <v>27</v>
      </c>
      <c r="H210">
        <v>5</v>
      </c>
      <c r="I210">
        <v>1799</v>
      </c>
      <c r="J210">
        <v>8995</v>
      </c>
      <c r="K210" s="1" t="s">
        <v>44</v>
      </c>
      <c r="L210" s="1" t="s">
        <v>18</v>
      </c>
    </row>
    <row r="211" spans="1:12" x14ac:dyDescent="0.3">
      <c r="A211" s="1" t="s">
        <v>446</v>
      </c>
      <c r="B211" s="2" t="s">
        <v>447</v>
      </c>
      <c r="C211" s="2" t="str">
        <f>TEXT(Raw_Data[[#This Row],[Order_Date]],"mmmm")</f>
        <v>December</v>
      </c>
      <c r="D211" s="1" t="s">
        <v>39</v>
      </c>
      <c r="E211" s="1" t="s">
        <v>56</v>
      </c>
      <c r="F211" s="1" t="s">
        <v>34</v>
      </c>
      <c r="G211" s="1" t="s">
        <v>16</v>
      </c>
      <c r="H211">
        <v>3</v>
      </c>
      <c r="I211">
        <v>999</v>
      </c>
      <c r="J211">
        <v>2997</v>
      </c>
      <c r="K211" s="1" t="s">
        <v>28</v>
      </c>
      <c r="L211" s="1" t="s">
        <v>18</v>
      </c>
    </row>
    <row r="212" spans="1:12" x14ac:dyDescent="0.3">
      <c r="A212" s="1" t="s">
        <v>448</v>
      </c>
      <c r="B212" s="2" t="s">
        <v>102</v>
      </c>
      <c r="C212" s="2" t="str">
        <f>TEXT(Raw_Data[[#This Row],[Order_Date]],"mmmm")</f>
        <v>August</v>
      </c>
      <c r="D212" s="1" t="s">
        <v>31</v>
      </c>
      <c r="E212" s="1" t="s">
        <v>14</v>
      </c>
      <c r="F212" s="1" t="s">
        <v>65</v>
      </c>
      <c r="G212" s="1" t="s">
        <v>16</v>
      </c>
      <c r="H212">
        <v>5</v>
      </c>
      <c r="I212">
        <v>599</v>
      </c>
      <c r="J212">
        <v>2995</v>
      </c>
      <c r="K212" s="1" t="s">
        <v>23</v>
      </c>
      <c r="L212" s="1" t="s">
        <v>47</v>
      </c>
    </row>
    <row r="213" spans="1:12" x14ac:dyDescent="0.3">
      <c r="A213" s="1" t="s">
        <v>449</v>
      </c>
      <c r="B213" s="2" t="s">
        <v>365</v>
      </c>
      <c r="C213" s="2" t="str">
        <f>TEXT(Raw_Data[[#This Row],[Order_Date]],"mmmm")</f>
        <v>September</v>
      </c>
      <c r="D213" s="1" t="s">
        <v>19</v>
      </c>
      <c r="E213" s="1" t="s">
        <v>53</v>
      </c>
      <c r="F213" s="1" t="s">
        <v>80</v>
      </c>
      <c r="G213" s="1" t="s">
        <v>81</v>
      </c>
      <c r="H213">
        <v>2</v>
      </c>
      <c r="I213">
        <v>1299</v>
      </c>
      <c r="J213">
        <v>2598</v>
      </c>
      <c r="K213" s="1" t="s">
        <v>17</v>
      </c>
      <c r="L213" s="1" t="s">
        <v>18</v>
      </c>
    </row>
    <row r="214" spans="1:12" x14ac:dyDescent="0.3">
      <c r="A214" s="1" t="s">
        <v>450</v>
      </c>
      <c r="B214" s="2" t="s">
        <v>427</v>
      </c>
      <c r="C214" s="2" t="str">
        <f>TEXT(Raw_Data[[#This Row],[Order_Date]],"mmmm")</f>
        <v>April</v>
      </c>
      <c r="D214" s="1" t="s">
        <v>25</v>
      </c>
      <c r="E214" s="1" t="s">
        <v>50</v>
      </c>
      <c r="F214" s="1" t="s">
        <v>41</v>
      </c>
      <c r="G214" s="1" t="s">
        <v>42</v>
      </c>
      <c r="H214">
        <v>1</v>
      </c>
      <c r="I214">
        <v>7499</v>
      </c>
      <c r="J214">
        <v>7499</v>
      </c>
      <c r="K214" s="1" t="s">
        <v>54</v>
      </c>
      <c r="L214" s="1" t="s">
        <v>29</v>
      </c>
    </row>
    <row r="215" spans="1:12" x14ac:dyDescent="0.3">
      <c r="A215" s="1" t="s">
        <v>451</v>
      </c>
      <c r="B215" s="2" t="s">
        <v>452</v>
      </c>
      <c r="C215" s="2" t="str">
        <f>TEXT(Raw_Data[[#This Row],[Order_Date]],"mmmm")</f>
        <v>December</v>
      </c>
      <c r="D215" s="1" t="s">
        <v>13</v>
      </c>
      <c r="E215" s="1" t="s">
        <v>56</v>
      </c>
      <c r="F215" s="1" t="s">
        <v>46</v>
      </c>
      <c r="G215" s="1" t="s">
        <v>16</v>
      </c>
      <c r="H215">
        <v>4</v>
      </c>
      <c r="I215">
        <v>1499</v>
      </c>
      <c r="J215">
        <v>5996</v>
      </c>
      <c r="K215" s="1" t="s">
        <v>28</v>
      </c>
      <c r="L215" s="1" t="s">
        <v>47</v>
      </c>
    </row>
    <row r="216" spans="1:12" x14ac:dyDescent="0.3">
      <c r="A216" s="1" t="s">
        <v>453</v>
      </c>
      <c r="B216" s="2" t="s">
        <v>160</v>
      </c>
      <c r="C216" s="2" t="str">
        <f>TEXT(Raw_Data[[#This Row],[Order_Date]],"mmmm")</f>
        <v>December</v>
      </c>
      <c r="D216" s="1" t="s">
        <v>49</v>
      </c>
      <c r="E216" s="1" t="s">
        <v>14</v>
      </c>
      <c r="F216" s="1" t="s">
        <v>80</v>
      </c>
      <c r="G216" s="1" t="s">
        <v>81</v>
      </c>
      <c r="H216">
        <v>1</v>
      </c>
      <c r="I216">
        <v>1299</v>
      </c>
      <c r="J216">
        <v>1299</v>
      </c>
      <c r="K216" s="1" t="s">
        <v>28</v>
      </c>
      <c r="L216" s="1" t="s">
        <v>18</v>
      </c>
    </row>
    <row r="217" spans="1:12" x14ac:dyDescent="0.3">
      <c r="A217" s="1" t="s">
        <v>454</v>
      </c>
      <c r="B217" s="2" t="s">
        <v>455</v>
      </c>
      <c r="C217" s="2" t="str">
        <f>TEXT(Raw_Data[[#This Row],[Order_Date]],"mmmm")</f>
        <v>July</v>
      </c>
      <c r="D217" s="1" t="s">
        <v>36</v>
      </c>
      <c r="E217" s="1" t="s">
        <v>53</v>
      </c>
      <c r="F217" s="1" t="s">
        <v>80</v>
      </c>
      <c r="G217" s="1" t="s">
        <v>81</v>
      </c>
      <c r="H217">
        <v>5</v>
      </c>
      <c r="I217">
        <v>1299</v>
      </c>
      <c r="K217" s="1" t="s">
        <v>44</v>
      </c>
      <c r="L217" s="1" t="s">
        <v>47</v>
      </c>
    </row>
    <row r="218" spans="1:12" x14ac:dyDescent="0.3">
      <c r="A218" s="1" t="s">
        <v>456</v>
      </c>
      <c r="B218" s="2" t="s">
        <v>45</v>
      </c>
      <c r="C218" s="2" t="str">
        <f>TEXT(Raw_Data[[#This Row],[Order_Date]],"mmmm")</f>
        <v>July</v>
      </c>
      <c r="D218" s="1" t="s">
        <v>31</v>
      </c>
      <c r="E218" s="1" t="s">
        <v>50</v>
      </c>
      <c r="F218" s="1" t="s">
        <v>34</v>
      </c>
      <c r="G218" s="1" t="s">
        <v>16</v>
      </c>
      <c r="H218">
        <v>5</v>
      </c>
      <c r="I218">
        <v>999</v>
      </c>
      <c r="J218">
        <v>4995</v>
      </c>
      <c r="K218" s="1" t="s">
        <v>17</v>
      </c>
      <c r="L218" s="1" t="s">
        <v>18</v>
      </c>
    </row>
    <row r="219" spans="1:12" x14ac:dyDescent="0.3">
      <c r="A219" s="1" t="s">
        <v>457</v>
      </c>
      <c r="B219" s="2" t="s">
        <v>458</v>
      </c>
      <c r="C219" s="2" t="str">
        <f>TEXT(Raw_Data[[#This Row],[Order_Date]],"mmmm")</f>
        <v>June</v>
      </c>
      <c r="D219" s="1" t="s">
        <v>13</v>
      </c>
      <c r="E219" s="1" t="s">
        <v>37</v>
      </c>
      <c r="F219" s="1" t="s">
        <v>63</v>
      </c>
      <c r="G219" s="1" t="s">
        <v>27</v>
      </c>
      <c r="H219">
        <v>5</v>
      </c>
      <c r="I219">
        <v>1799</v>
      </c>
      <c r="J219">
        <v>8995</v>
      </c>
      <c r="K219" s="1" t="s">
        <v>54</v>
      </c>
      <c r="L219" s="1" t="s">
        <v>18</v>
      </c>
    </row>
    <row r="220" spans="1:12" x14ac:dyDescent="0.3">
      <c r="A220" s="1" t="s">
        <v>459</v>
      </c>
      <c r="B220" s="2" t="s">
        <v>460</v>
      </c>
      <c r="C220" s="2" t="str">
        <f>TEXT(Raw_Data[[#This Row],[Order_Date]],"mmmm")</f>
        <v>September</v>
      </c>
      <c r="D220" s="1" t="s">
        <v>36</v>
      </c>
      <c r="E220" s="1" t="s">
        <v>37</v>
      </c>
      <c r="F220" s="1" t="s">
        <v>80</v>
      </c>
      <c r="G220" s="1" t="s">
        <v>81</v>
      </c>
      <c r="H220">
        <v>3</v>
      </c>
      <c r="I220">
        <v>1299</v>
      </c>
      <c r="J220">
        <v>3897</v>
      </c>
      <c r="K220" s="1" t="s">
        <v>54</v>
      </c>
      <c r="L220" s="1" t="s">
        <v>18</v>
      </c>
    </row>
    <row r="221" spans="1:12" x14ac:dyDescent="0.3">
      <c r="A221" s="1" t="s">
        <v>461</v>
      </c>
      <c r="B221" s="2" t="s">
        <v>462</v>
      </c>
      <c r="C221" s="2" t="str">
        <f>TEXT(Raw_Data[[#This Row],[Order_Date]],"mmmm")</f>
        <v>July</v>
      </c>
      <c r="D221" s="1" t="s">
        <v>19</v>
      </c>
      <c r="E221" s="1" t="s">
        <v>33</v>
      </c>
      <c r="F221" s="1" t="s">
        <v>41</v>
      </c>
      <c r="G221" s="1" t="s">
        <v>42</v>
      </c>
      <c r="H221">
        <v>5</v>
      </c>
      <c r="I221">
        <v>7499</v>
      </c>
      <c r="J221">
        <v>37495</v>
      </c>
      <c r="K221" s="1" t="s">
        <v>17</v>
      </c>
      <c r="L221" s="1" t="s">
        <v>18</v>
      </c>
    </row>
    <row r="222" spans="1:12" x14ac:dyDescent="0.3">
      <c r="A222" s="1" t="s">
        <v>463</v>
      </c>
      <c r="B222" s="2" t="s">
        <v>464</v>
      </c>
      <c r="C222" s="2" t="str">
        <f>TEXT(Raw_Data[[#This Row],[Order_Date]],"mmmm")</f>
        <v>February</v>
      </c>
      <c r="D222" s="1" t="s">
        <v>36</v>
      </c>
      <c r="E222" s="1" t="s">
        <v>50</v>
      </c>
      <c r="F222" s="1" t="s">
        <v>65</v>
      </c>
      <c r="G222" s="1" t="s">
        <v>16</v>
      </c>
      <c r="H222">
        <v>3</v>
      </c>
      <c r="I222">
        <v>599</v>
      </c>
      <c r="J222">
        <v>1797</v>
      </c>
      <c r="K222" s="1" t="s">
        <v>54</v>
      </c>
      <c r="L222" s="1" t="s">
        <v>29</v>
      </c>
    </row>
    <row r="223" spans="1:12" x14ac:dyDescent="0.3">
      <c r="A223" s="1" t="s">
        <v>465</v>
      </c>
      <c r="B223" s="2" t="s">
        <v>55</v>
      </c>
      <c r="C223" s="2" t="str">
        <f>TEXT(Raw_Data[[#This Row],[Order_Date]],"mmmm")</f>
        <v>October</v>
      </c>
      <c r="D223" s="1" t="s">
        <v>31</v>
      </c>
      <c r="E223" s="1" t="s">
        <v>37</v>
      </c>
      <c r="F223" s="1" t="s">
        <v>26</v>
      </c>
      <c r="G223" s="1" t="s">
        <v>27</v>
      </c>
      <c r="H223">
        <v>2</v>
      </c>
      <c r="I223">
        <v>2199</v>
      </c>
      <c r="J223">
        <v>4398</v>
      </c>
      <c r="K223" s="1" t="s">
        <v>17</v>
      </c>
      <c r="L223" s="1" t="s">
        <v>18</v>
      </c>
    </row>
    <row r="224" spans="1:12" x14ac:dyDescent="0.3">
      <c r="A224" s="1" t="s">
        <v>466</v>
      </c>
      <c r="B224" s="2" t="s">
        <v>182</v>
      </c>
      <c r="C224" s="2" t="str">
        <f>TEXT(Raw_Data[[#This Row],[Order_Date]],"mmmm")</f>
        <v>May</v>
      </c>
      <c r="D224" s="1" t="s">
        <v>13</v>
      </c>
      <c r="E224" s="1" t="s">
        <v>20</v>
      </c>
      <c r="F224" s="1" t="s">
        <v>41</v>
      </c>
      <c r="G224" s="1" t="s">
        <v>42</v>
      </c>
      <c r="H224">
        <v>5</v>
      </c>
      <c r="I224">
        <v>7499</v>
      </c>
      <c r="J224">
        <v>37495</v>
      </c>
      <c r="K224" s="1" t="s">
        <v>28</v>
      </c>
      <c r="L224" s="1" t="s">
        <v>18</v>
      </c>
    </row>
    <row r="225" spans="1:12" x14ac:dyDescent="0.3">
      <c r="A225" s="1" t="s">
        <v>467</v>
      </c>
      <c r="B225" s="2" t="s">
        <v>43</v>
      </c>
      <c r="C225" s="2" t="str">
        <f>TEXT(Raw_Data[[#This Row],[Order_Date]],"mmmm")</f>
        <v>February</v>
      </c>
      <c r="D225" s="1" t="s">
        <v>19</v>
      </c>
      <c r="E225" s="1" t="s">
        <v>33</v>
      </c>
      <c r="F225" s="1" t="s">
        <v>26</v>
      </c>
      <c r="G225" s="1" t="s">
        <v>27</v>
      </c>
      <c r="H225">
        <v>1</v>
      </c>
      <c r="I225">
        <v>2199</v>
      </c>
      <c r="J225">
        <v>2199</v>
      </c>
      <c r="K225" s="1" t="s">
        <v>44</v>
      </c>
      <c r="L225" s="1" t="s">
        <v>18</v>
      </c>
    </row>
    <row r="226" spans="1:12" x14ac:dyDescent="0.3">
      <c r="A226" s="1" t="s">
        <v>468</v>
      </c>
      <c r="B226" s="2" t="s">
        <v>469</v>
      </c>
      <c r="C226" s="2" t="str">
        <f>TEXT(Raw_Data[[#This Row],[Order_Date]],"mmmm")</f>
        <v>October</v>
      </c>
      <c r="D226" s="1" t="s">
        <v>49</v>
      </c>
      <c r="E226" s="1" t="s">
        <v>56</v>
      </c>
      <c r="F226" s="1" t="s">
        <v>46</v>
      </c>
      <c r="G226" s="1" t="s">
        <v>16</v>
      </c>
      <c r="H226">
        <v>1</v>
      </c>
      <c r="I226">
        <v>1499</v>
      </c>
      <c r="J226">
        <v>1499</v>
      </c>
      <c r="K226" s="1" t="s">
        <v>44</v>
      </c>
      <c r="L226" s="1" t="s">
        <v>29</v>
      </c>
    </row>
    <row r="227" spans="1:12" x14ac:dyDescent="0.3">
      <c r="A227" s="1" t="s">
        <v>470</v>
      </c>
      <c r="B227" s="2" t="s">
        <v>384</v>
      </c>
      <c r="C227" s="2" t="str">
        <f>TEXT(Raw_Data[[#This Row],[Order_Date]],"mmmm")</f>
        <v>June</v>
      </c>
      <c r="D227" s="1" t="s">
        <v>31</v>
      </c>
      <c r="E227" s="1" t="s">
        <v>20</v>
      </c>
      <c r="F227" s="1" t="s">
        <v>26</v>
      </c>
      <c r="G227" s="1" t="s">
        <v>27</v>
      </c>
      <c r="H227">
        <v>3</v>
      </c>
      <c r="I227">
        <v>2199</v>
      </c>
      <c r="J227">
        <v>6597</v>
      </c>
      <c r="K227" s="1" t="s">
        <v>23</v>
      </c>
      <c r="L227" s="1" t="s">
        <v>47</v>
      </c>
    </row>
    <row r="228" spans="1:12" x14ac:dyDescent="0.3">
      <c r="A228" s="1" t="s">
        <v>471</v>
      </c>
      <c r="B228" s="2" t="s">
        <v>94</v>
      </c>
      <c r="C228" s="2" t="str">
        <f>TEXT(Raw_Data[[#This Row],[Order_Date]],"mmmm")</f>
        <v>January</v>
      </c>
      <c r="D228" s="1" t="s">
        <v>49</v>
      </c>
      <c r="E228" s="1" t="s">
        <v>56</v>
      </c>
      <c r="F228" s="1" t="s">
        <v>26</v>
      </c>
      <c r="G228" s="1" t="s">
        <v>27</v>
      </c>
      <c r="H228">
        <v>5</v>
      </c>
      <c r="I228">
        <v>2199</v>
      </c>
      <c r="J228">
        <v>10995</v>
      </c>
      <c r="K228" s="1" t="s">
        <v>17</v>
      </c>
      <c r="L228" s="1" t="s">
        <v>18</v>
      </c>
    </row>
    <row r="229" spans="1:12" hidden="1" x14ac:dyDescent="0.3">
      <c r="A229" s="1" t="s">
        <v>472</v>
      </c>
      <c r="B229" s="2" t="s">
        <v>380</v>
      </c>
      <c r="C229" s="2" t="str">
        <f>TEXT(Raw_Data[[#This Row],[Order_Date]],"mmmm")</f>
        <v>April</v>
      </c>
      <c r="D229" s="1" t="s">
        <v>31</v>
      </c>
      <c r="E229" s="1" t="s">
        <v>20</v>
      </c>
      <c r="F229" s="1" t="s">
        <v>38</v>
      </c>
      <c r="G229" s="1" t="s">
        <v>27</v>
      </c>
      <c r="H229">
        <v>4</v>
      </c>
      <c r="I229">
        <v>12499</v>
      </c>
      <c r="J229">
        <v>49996</v>
      </c>
      <c r="K229" s="1" t="s">
        <v>23</v>
      </c>
      <c r="L229" s="1"/>
    </row>
    <row r="230" spans="1:12" x14ac:dyDescent="0.3">
      <c r="A230" s="1" t="s">
        <v>473</v>
      </c>
      <c r="B230" s="2" t="s">
        <v>474</v>
      </c>
      <c r="C230" s="2" t="str">
        <f>TEXT(Raw_Data[[#This Row],[Order_Date]],"mmmm")</f>
        <v>February</v>
      </c>
      <c r="D230" s="1" t="s">
        <v>36</v>
      </c>
      <c r="E230" s="1" t="s">
        <v>37</v>
      </c>
      <c r="F230" s="1" t="s">
        <v>41</v>
      </c>
      <c r="G230" s="1" t="s">
        <v>42</v>
      </c>
      <c r="H230">
        <v>5</v>
      </c>
      <c r="I230">
        <v>7499</v>
      </c>
      <c r="J230">
        <v>37495</v>
      </c>
      <c r="K230" s="1" t="s">
        <v>44</v>
      </c>
      <c r="L230" s="1" t="s">
        <v>47</v>
      </c>
    </row>
    <row r="231" spans="1:12" x14ac:dyDescent="0.3">
      <c r="A231" s="1" t="s">
        <v>475</v>
      </c>
      <c r="B231" s="2" t="s">
        <v>435</v>
      </c>
      <c r="C231" s="2" t="str">
        <f>TEXT(Raw_Data[[#This Row],[Order_Date]],"mmmm")</f>
        <v>March</v>
      </c>
      <c r="D231" s="1" t="s">
        <v>52</v>
      </c>
      <c r="E231" s="1" t="s">
        <v>37</v>
      </c>
      <c r="F231" s="1" t="s">
        <v>21</v>
      </c>
      <c r="G231" s="1" t="s">
        <v>22</v>
      </c>
      <c r="H231">
        <v>4</v>
      </c>
      <c r="I231">
        <v>249</v>
      </c>
      <c r="J231">
        <v>996</v>
      </c>
      <c r="K231" s="1" t="s">
        <v>17</v>
      </c>
      <c r="L231" s="1" t="s">
        <v>18</v>
      </c>
    </row>
    <row r="232" spans="1:12" x14ac:dyDescent="0.3">
      <c r="A232" s="1" t="s">
        <v>476</v>
      </c>
      <c r="B232" s="2" t="s">
        <v>373</v>
      </c>
      <c r="C232" s="2" t="str">
        <f>TEXT(Raw_Data[[#This Row],[Order_Date]],"mmmm")</f>
        <v>August</v>
      </c>
      <c r="D232" s="1" t="s">
        <v>31</v>
      </c>
      <c r="E232" s="1" t="s">
        <v>53</v>
      </c>
      <c r="F232" s="1" t="s">
        <v>34</v>
      </c>
      <c r="G232" s="1" t="s">
        <v>16</v>
      </c>
      <c r="H232">
        <v>2</v>
      </c>
      <c r="I232">
        <v>999</v>
      </c>
      <c r="J232">
        <v>1998</v>
      </c>
      <c r="K232" s="1" t="s">
        <v>23</v>
      </c>
      <c r="L232" s="1" t="s">
        <v>18</v>
      </c>
    </row>
    <row r="233" spans="1:12" x14ac:dyDescent="0.3">
      <c r="A233" s="1" t="s">
        <v>477</v>
      </c>
      <c r="B233" s="2" t="s">
        <v>238</v>
      </c>
      <c r="C233" s="2" t="str">
        <f>TEXT(Raw_Data[[#This Row],[Order_Date]],"mmmm")</f>
        <v>December</v>
      </c>
      <c r="D233" s="1" t="s">
        <v>13</v>
      </c>
      <c r="E233" s="1" t="s">
        <v>53</v>
      </c>
      <c r="F233" s="1" t="s">
        <v>63</v>
      </c>
      <c r="G233" s="1" t="s">
        <v>27</v>
      </c>
      <c r="H233">
        <v>5</v>
      </c>
      <c r="I233">
        <v>1799</v>
      </c>
      <c r="J233">
        <v>8995</v>
      </c>
      <c r="K233" s="1" t="s">
        <v>28</v>
      </c>
      <c r="L233" s="1" t="s">
        <v>29</v>
      </c>
    </row>
    <row r="234" spans="1:12" x14ac:dyDescent="0.3">
      <c r="A234" s="1" t="s">
        <v>478</v>
      </c>
      <c r="B234" s="2" t="s">
        <v>479</v>
      </c>
      <c r="C234" s="2" t="str">
        <f>TEXT(Raw_Data[[#This Row],[Order_Date]],"mmmm")</f>
        <v>June</v>
      </c>
      <c r="D234" s="1" t="s">
        <v>39</v>
      </c>
      <c r="E234" s="1" t="s">
        <v>56</v>
      </c>
      <c r="F234" s="1" t="s">
        <v>38</v>
      </c>
      <c r="G234" s="1" t="s">
        <v>27</v>
      </c>
      <c r="H234">
        <v>5</v>
      </c>
      <c r="I234">
        <v>12499</v>
      </c>
      <c r="J234">
        <v>62495</v>
      </c>
      <c r="K234" s="1" t="s">
        <v>23</v>
      </c>
      <c r="L234" s="1" t="s">
        <v>18</v>
      </c>
    </row>
    <row r="235" spans="1:12" x14ac:dyDescent="0.3">
      <c r="A235" s="1" t="s">
        <v>480</v>
      </c>
      <c r="B235" s="2" t="s">
        <v>67</v>
      </c>
      <c r="C235" s="2" t="str">
        <f>TEXT(Raw_Data[[#This Row],[Order_Date]],"mmmm")</f>
        <v>June</v>
      </c>
      <c r="D235" s="1" t="s">
        <v>13</v>
      </c>
      <c r="E235" s="1" t="s">
        <v>20</v>
      </c>
      <c r="F235" s="1" t="s">
        <v>46</v>
      </c>
      <c r="G235" s="1" t="s">
        <v>16</v>
      </c>
      <c r="H235">
        <v>4</v>
      </c>
      <c r="I235">
        <v>1499</v>
      </c>
      <c r="J235">
        <v>5996</v>
      </c>
      <c r="K235" s="1" t="s">
        <v>54</v>
      </c>
      <c r="L235" s="1" t="s">
        <v>29</v>
      </c>
    </row>
    <row r="236" spans="1:12" x14ac:dyDescent="0.3">
      <c r="A236" s="1" t="s">
        <v>481</v>
      </c>
      <c r="B236" s="2" t="s">
        <v>165</v>
      </c>
      <c r="C236" s="2" t="str">
        <f>TEXT(Raw_Data[[#This Row],[Order_Date]],"mmmm")</f>
        <v>May</v>
      </c>
      <c r="D236" s="1" t="s">
        <v>36</v>
      </c>
      <c r="E236" s="1" t="s">
        <v>37</v>
      </c>
      <c r="F236" s="1" t="s">
        <v>26</v>
      </c>
      <c r="G236" s="1" t="s">
        <v>27</v>
      </c>
      <c r="H236">
        <v>4</v>
      </c>
      <c r="I236">
        <v>2199</v>
      </c>
      <c r="J236">
        <v>8796</v>
      </c>
      <c r="K236" s="1" t="s">
        <v>28</v>
      </c>
      <c r="L236" s="1" t="s">
        <v>47</v>
      </c>
    </row>
    <row r="237" spans="1:12" x14ac:dyDescent="0.3">
      <c r="A237" s="1" t="s">
        <v>482</v>
      </c>
      <c r="B237" s="2" t="s">
        <v>433</v>
      </c>
      <c r="C237" s="2" t="str">
        <f>TEXT(Raw_Data[[#This Row],[Order_Date]],"mmmm")</f>
        <v>December</v>
      </c>
      <c r="D237" s="1" t="s">
        <v>36</v>
      </c>
      <c r="E237" s="1" t="s">
        <v>14</v>
      </c>
      <c r="F237" s="1" t="s">
        <v>65</v>
      </c>
      <c r="G237" s="1" t="s">
        <v>16</v>
      </c>
      <c r="H237">
        <v>3</v>
      </c>
      <c r="I237">
        <v>599</v>
      </c>
      <c r="J237">
        <v>1797</v>
      </c>
      <c r="K237" s="1" t="s">
        <v>23</v>
      </c>
      <c r="L237" s="1" t="s">
        <v>18</v>
      </c>
    </row>
    <row r="238" spans="1:12" x14ac:dyDescent="0.3">
      <c r="A238" s="1" t="s">
        <v>483</v>
      </c>
      <c r="B238" s="2" t="s">
        <v>484</v>
      </c>
      <c r="C238" s="2" t="str">
        <f>TEXT(Raw_Data[[#This Row],[Order_Date]],"mmmm")</f>
        <v>March</v>
      </c>
      <c r="D238" s="1" t="s">
        <v>19</v>
      </c>
      <c r="E238" s="1" t="s">
        <v>37</v>
      </c>
      <c r="F238" s="1" t="s">
        <v>80</v>
      </c>
      <c r="G238" s="1" t="s">
        <v>81</v>
      </c>
      <c r="H238">
        <v>3</v>
      </c>
      <c r="I238">
        <v>1299</v>
      </c>
      <c r="J238">
        <v>3897</v>
      </c>
      <c r="K238" s="1" t="s">
        <v>23</v>
      </c>
      <c r="L238" s="1" t="s">
        <v>18</v>
      </c>
    </row>
    <row r="239" spans="1:12" x14ac:dyDescent="0.3">
      <c r="A239" s="1" t="s">
        <v>485</v>
      </c>
      <c r="B239" s="2" t="s">
        <v>486</v>
      </c>
      <c r="C239" s="2" t="str">
        <f>TEXT(Raw_Data[[#This Row],[Order_Date]],"mmmm")</f>
        <v>April</v>
      </c>
      <c r="D239" s="1" t="s">
        <v>13</v>
      </c>
      <c r="E239" s="1" t="s">
        <v>53</v>
      </c>
      <c r="F239" s="1" t="s">
        <v>34</v>
      </c>
      <c r="G239" s="1" t="s">
        <v>16</v>
      </c>
      <c r="H239">
        <v>5</v>
      </c>
      <c r="I239">
        <v>999</v>
      </c>
      <c r="J239">
        <v>4995</v>
      </c>
      <c r="K239" s="1" t="s">
        <v>44</v>
      </c>
      <c r="L239" s="1" t="s">
        <v>18</v>
      </c>
    </row>
    <row r="240" spans="1:12" x14ac:dyDescent="0.3">
      <c r="A240" s="1" t="s">
        <v>487</v>
      </c>
      <c r="B240" s="2" t="s">
        <v>488</v>
      </c>
      <c r="C240" s="2" t="str">
        <f>TEXT(Raw_Data[[#This Row],[Order_Date]],"mmmm")</f>
        <v>July</v>
      </c>
      <c r="D240" s="1" t="s">
        <v>19</v>
      </c>
      <c r="E240" s="1" t="s">
        <v>50</v>
      </c>
      <c r="F240" s="1" t="s">
        <v>80</v>
      </c>
      <c r="G240" s="1" t="s">
        <v>81</v>
      </c>
      <c r="H240">
        <v>5</v>
      </c>
      <c r="I240">
        <v>1299</v>
      </c>
      <c r="J240">
        <v>6495</v>
      </c>
      <c r="K240" s="1" t="s">
        <v>28</v>
      </c>
      <c r="L240" s="1" t="s">
        <v>18</v>
      </c>
    </row>
    <row r="241" spans="1:12" x14ac:dyDescent="0.3">
      <c r="A241" s="1" t="s">
        <v>489</v>
      </c>
      <c r="B241" s="2" t="s">
        <v>329</v>
      </c>
      <c r="C241" s="2" t="str">
        <f>TEXT(Raw_Data[[#This Row],[Order_Date]],"mmmm")</f>
        <v>February</v>
      </c>
      <c r="D241" s="1" t="s">
        <v>52</v>
      </c>
      <c r="E241" s="1" t="s">
        <v>33</v>
      </c>
      <c r="F241" s="1" t="s">
        <v>26</v>
      </c>
      <c r="G241" s="1" t="s">
        <v>27</v>
      </c>
      <c r="H241">
        <v>5</v>
      </c>
      <c r="I241">
        <v>2199</v>
      </c>
      <c r="J241">
        <v>10995</v>
      </c>
      <c r="K241" s="1" t="s">
        <v>23</v>
      </c>
      <c r="L241" s="1" t="s">
        <v>47</v>
      </c>
    </row>
    <row r="242" spans="1:12" x14ac:dyDescent="0.3">
      <c r="A242" s="1" t="s">
        <v>490</v>
      </c>
      <c r="B242" s="2" t="s">
        <v>270</v>
      </c>
      <c r="C242" s="2" t="str">
        <f>TEXT(Raw_Data[[#This Row],[Order_Date]],"mmmm")</f>
        <v>October</v>
      </c>
      <c r="D242" s="1" t="s">
        <v>13</v>
      </c>
      <c r="E242" s="1" t="s">
        <v>53</v>
      </c>
      <c r="F242" s="1" t="s">
        <v>15</v>
      </c>
      <c r="G242" s="1" t="s">
        <v>16</v>
      </c>
      <c r="H242">
        <v>1</v>
      </c>
      <c r="I242">
        <v>899</v>
      </c>
      <c r="J242">
        <v>899</v>
      </c>
      <c r="K242" s="1" t="s">
        <v>17</v>
      </c>
      <c r="L242" s="1" t="s">
        <v>18</v>
      </c>
    </row>
    <row r="243" spans="1:12" x14ac:dyDescent="0.3">
      <c r="A243" s="1" t="s">
        <v>491</v>
      </c>
      <c r="B243" s="2" t="s">
        <v>492</v>
      </c>
      <c r="C243" s="2" t="str">
        <f>TEXT(Raw_Data[[#This Row],[Order_Date]],"mmmm")</f>
        <v>March</v>
      </c>
      <c r="D243" s="1" t="s">
        <v>13</v>
      </c>
      <c r="E243" s="1" t="s">
        <v>50</v>
      </c>
      <c r="F243" s="1" t="s">
        <v>21</v>
      </c>
      <c r="G243" s="1" t="s">
        <v>22</v>
      </c>
      <c r="H243">
        <v>4</v>
      </c>
      <c r="I243">
        <v>249</v>
      </c>
      <c r="J243">
        <v>996</v>
      </c>
      <c r="K243" s="1" t="s">
        <v>23</v>
      </c>
      <c r="L243" s="1" t="s">
        <v>47</v>
      </c>
    </row>
    <row r="244" spans="1:12" x14ac:dyDescent="0.3">
      <c r="A244" s="1" t="s">
        <v>493</v>
      </c>
      <c r="B244" s="2" t="s">
        <v>236</v>
      </c>
      <c r="C244" s="2" t="str">
        <f>TEXT(Raw_Data[[#This Row],[Order_Date]],"mmmm")</f>
        <v>August</v>
      </c>
      <c r="D244" s="1" t="s">
        <v>49</v>
      </c>
      <c r="E244" s="1" t="s">
        <v>56</v>
      </c>
      <c r="F244" s="1" t="s">
        <v>80</v>
      </c>
      <c r="G244" s="1" t="s">
        <v>81</v>
      </c>
      <c r="H244">
        <v>1</v>
      </c>
      <c r="I244">
        <v>1299</v>
      </c>
      <c r="J244">
        <v>1299</v>
      </c>
      <c r="K244" s="1" t="s">
        <v>44</v>
      </c>
      <c r="L244" s="1" t="s">
        <v>47</v>
      </c>
    </row>
    <row r="245" spans="1:12" x14ac:dyDescent="0.3">
      <c r="A245" s="1" t="s">
        <v>494</v>
      </c>
      <c r="B245" s="2" t="s">
        <v>76</v>
      </c>
      <c r="C245" s="2" t="str">
        <f>TEXT(Raw_Data[[#This Row],[Order_Date]],"mmmm")</f>
        <v>August</v>
      </c>
      <c r="D245" s="1" t="s">
        <v>31</v>
      </c>
      <c r="E245" s="1" t="s">
        <v>20</v>
      </c>
      <c r="F245" s="1" t="s">
        <v>65</v>
      </c>
      <c r="G245" s="1" t="s">
        <v>16</v>
      </c>
      <c r="H245">
        <v>5</v>
      </c>
      <c r="I245">
        <v>599</v>
      </c>
      <c r="J245">
        <v>2995</v>
      </c>
      <c r="K245" s="1" t="s">
        <v>44</v>
      </c>
      <c r="L245" s="1" t="s">
        <v>18</v>
      </c>
    </row>
    <row r="246" spans="1:12" x14ac:dyDescent="0.3">
      <c r="A246" s="1" t="s">
        <v>495</v>
      </c>
      <c r="B246" s="2" t="s">
        <v>82</v>
      </c>
      <c r="C246" s="2" t="str">
        <f>TEXT(Raw_Data[[#This Row],[Order_Date]],"mmmm")</f>
        <v>October</v>
      </c>
      <c r="D246" s="1" t="s">
        <v>39</v>
      </c>
      <c r="E246" s="1" t="s">
        <v>20</v>
      </c>
      <c r="F246" s="1" t="s">
        <v>65</v>
      </c>
      <c r="G246" s="1" t="s">
        <v>16</v>
      </c>
      <c r="H246">
        <v>2</v>
      </c>
      <c r="I246">
        <v>599</v>
      </c>
      <c r="J246">
        <v>1198</v>
      </c>
      <c r="K246" s="1" t="s">
        <v>44</v>
      </c>
      <c r="L246" s="1" t="s">
        <v>18</v>
      </c>
    </row>
    <row r="247" spans="1:12" x14ac:dyDescent="0.3">
      <c r="A247" s="1" t="s">
        <v>496</v>
      </c>
      <c r="B247" s="2" t="s">
        <v>497</v>
      </c>
      <c r="C247" s="2" t="str">
        <f>TEXT(Raw_Data[[#This Row],[Order_Date]],"mmmm")</f>
        <v>January</v>
      </c>
      <c r="D247" s="1" t="s">
        <v>39</v>
      </c>
      <c r="E247" s="1" t="s">
        <v>50</v>
      </c>
      <c r="F247" s="1" t="s">
        <v>15</v>
      </c>
      <c r="G247" s="1" t="s">
        <v>16</v>
      </c>
      <c r="H247">
        <v>5</v>
      </c>
      <c r="I247">
        <v>899</v>
      </c>
      <c r="J247">
        <v>4495</v>
      </c>
      <c r="K247" s="1" t="s">
        <v>23</v>
      </c>
      <c r="L247" s="1" t="s">
        <v>18</v>
      </c>
    </row>
    <row r="248" spans="1:12" x14ac:dyDescent="0.3">
      <c r="A248" s="1" t="s">
        <v>498</v>
      </c>
      <c r="B248" s="3">
        <v>45727</v>
      </c>
      <c r="C248" s="3" t="str">
        <f>TEXT(Raw_Data[[#This Row],[Order_Date]],"mmmm")</f>
        <v>March</v>
      </c>
      <c r="D248" s="1" t="s">
        <v>19</v>
      </c>
      <c r="E248" s="1" t="s">
        <v>33</v>
      </c>
      <c r="F248" s="1" t="s">
        <v>38</v>
      </c>
      <c r="G248" s="1" t="s">
        <v>27</v>
      </c>
      <c r="H248">
        <v>2</v>
      </c>
      <c r="I248">
        <v>12499</v>
      </c>
      <c r="J248">
        <v>24998</v>
      </c>
      <c r="K248" s="1" t="s">
        <v>44</v>
      </c>
      <c r="L248" s="1" t="s">
        <v>29</v>
      </c>
    </row>
    <row r="249" spans="1:12" x14ac:dyDescent="0.3">
      <c r="A249" s="1" t="s">
        <v>499</v>
      </c>
      <c r="B249" s="2" t="s">
        <v>329</v>
      </c>
      <c r="C249" s="2" t="str">
        <f>TEXT(Raw_Data[[#This Row],[Order_Date]],"mmmm")</f>
        <v>February</v>
      </c>
      <c r="D249" s="1" t="s">
        <v>49</v>
      </c>
      <c r="E249" s="1" t="s">
        <v>33</v>
      </c>
      <c r="F249" s="1" t="s">
        <v>38</v>
      </c>
      <c r="G249" s="1" t="s">
        <v>27</v>
      </c>
      <c r="H249">
        <v>4</v>
      </c>
      <c r="I249">
        <v>12499</v>
      </c>
      <c r="J249">
        <v>49996</v>
      </c>
      <c r="K249" s="1" t="s">
        <v>23</v>
      </c>
      <c r="L249" s="1" t="s">
        <v>18</v>
      </c>
    </row>
    <row r="250" spans="1:12" x14ac:dyDescent="0.3">
      <c r="A250" s="1" t="s">
        <v>500</v>
      </c>
      <c r="B250" s="2" t="s">
        <v>61</v>
      </c>
      <c r="C250" s="2" t="str">
        <f>TEXT(Raw_Data[[#This Row],[Order_Date]],"mmmm")</f>
        <v>September</v>
      </c>
      <c r="D250" s="1" t="s">
        <v>49</v>
      </c>
      <c r="E250" s="1" t="s">
        <v>14</v>
      </c>
      <c r="F250" s="1" t="s">
        <v>21</v>
      </c>
      <c r="G250" s="1" t="s">
        <v>22</v>
      </c>
      <c r="H250">
        <v>4</v>
      </c>
      <c r="I250">
        <v>249</v>
      </c>
      <c r="J250">
        <v>996</v>
      </c>
      <c r="K250" s="1" t="s">
        <v>23</v>
      </c>
      <c r="L250" s="1" t="s">
        <v>18</v>
      </c>
    </row>
    <row r="251" spans="1:12" x14ac:dyDescent="0.3">
      <c r="A251" s="1" t="s">
        <v>501</v>
      </c>
      <c r="B251" s="2" t="s">
        <v>447</v>
      </c>
      <c r="C251" s="2" t="str">
        <f>TEXT(Raw_Data[[#This Row],[Order_Date]],"mmmm")</f>
        <v>December</v>
      </c>
      <c r="D251" s="1" t="s">
        <v>19</v>
      </c>
      <c r="E251" s="1" t="s">
        <v>56</v>
      </c>
      <c r="F251" s="1" t="s">
        <v>63</v>
      </c>
      <c r="G251" s="1" t="s">
        <v>27</v>
      </c>
      <c r="H251">
        <v>4</v>
      </c>
      <c r="I251">
        <v>1799</v>
      </c>
      <c r="J251">
        <v>7196</v>
      </c>
      <c r="K251" s="1" t="s">
        <v>17</v>
      </c>
      <c r="L251" s="1" t="s">
        <v>18</v>
      </c>
    </row>
    <row r="252" spans="1:12" x14ac:dyDescent="0.3">
      <c r="A252" s="1" t="s">
        <v>502</v>
      </c>
      <c r="B252" s="2" t="s">
        <v>32</v>
      </c>
      <c r="C252" s="2" t="str">
        <f>TEXT(Raw_Data[[#This Row],[Order_Date]],"mmmm")</f>
        <v>March</v>
      </c>
      <c r="D252" s="1" t="s">
        <v>31</v>
      </c>
      <c r="E252" s="1" t="s">
        <v>14</v>
      </c>
      <c r="F252" s="1" t="s">
        <v>80</v>
      </c>
      <c r="G252" s="1" t="s">
        <v>81</v>
      </c>
      <c r="H252">
        <v>3</v>
      </c>
      <c r="I252">
        <v>1299</v>
      </c>
      <c r="J252">
        <v>3897</v>
      </c>
      <c r="K252" s="1" t="s">
        <v>23</v>
      </c>
      <c r="L252" s="1" t="s">
        <v>18</v>
      </c>
    </row>
    <row r="253" spans="1:12" x14ac:dyDescent="0.3">
      <c r="A253" s="1" t="s">
        <v>503</v>
      </c>
      <c r="B253" s="2" t="s">
        <v>504</v>
      </c>
      <c r="C253" s="2" t="str">
        <f>TEXT(Raw_Data[[#This Row],[Order_Date]],"mmmm")</f>
        <v>January</v>
      </c>
      <c r="D253" s="1" t="s">
        <v>13</v>
      </c>
      <c r="E253" s="1" t="s">
        <v>14</v>
      </c>
      <c r="F253" s="1" t="s">
        <v>38</v>
      </c>
      <c r="G253" s="1" t="s">
        <v>27</v>
      </c>
      <c r="H253">
        <v>5</v>
      </c>
      <c r="I253">
        <v>12499</v>
      </c>
      <c r="J253">
        <v>62495</v>
      </c>
      <c r="K253" s="1" t="s">
        <v>23</v>
      </c>
      <c r="L253" s="1" t="s">
        <v>18</v>
      </c>
    </row>
    <row r="254" spans="1:12" x14ac:dyDescent="0.3">
      <c r="A254" s="1" t="s">
        <v>505</v>
      </c>
      <c r="B254" s="2" t="s">
        <v>105</v>
      </c>
      <c r="C254" s="2" t="str">
        <f>TEXT(Raw_Data[[#This Row],[Order_Date]],"mmmm")</f>
        <v>August</v>
      </c>
      <c r="D254" s="1" t="s">
        <v>25</v>
      </c>
      <c r="E254" s="1" t="s">
        <v>14</v>
      </c>
      <c r="F254" s="1" t="s">
        <v>41</v>
      </c>
      <c r="G254" s="1" t="s">
        <v>42</v>
      </c>
      <c r="H254">
        <v>1</v>
      </c>
      <c r="I254">
        <v>7499</v>
      </c>
      <c r="J254">
        <v>7499</v>
      </c>
      <c r="K254" s="1" t="s">
        <v>23</v>
      </c>
      <c r="L254" s="1" t="s">
        <v>29</v>
      </c>
    </row>
    <row r="255" spans="1:12" x14ac:dyDescent="0.3">
      <c r="A255" s="1" t="s">
        <v>506</v>
      </c>
      <c r="B255" s="2" t="s">
        <v>507</v>
      </c>
      <c r="C255" s="2" t="str">
        <f>TEXT(Raw_Data[[#This Row],[Order_Date]],"mmmm")</f>
        <v>October</v>
      </c>
      <c r="D255" s="1" t="s">
        <v>13</v>
      </c>
      <c r="E255" s="1" t="s">
        <v>20</v>
      </c>
      <c r="F255" s="1" t="s">
        <v>80</v>
      </c>
      <c r="G255" s="1" t="s">
        <v>81</v>
      </c>
      <c r="H255">
        <v>2</v>
      </c>
      <c r="I255">
        <v>1299</v>
      </c>
      <c r="J255">
        <v>2598</v>
      </c>
      <c r="K255" s="1" t="s">
        <v>17</v>
      </c>
      <c r="L255" s="1" t="s">
        <v>47</v>
      </c>
    </row>
    <row r="256" spans="1:12" x14ac:dyDescent="0.3">
      <c r="A256" s="1" t="s">
        <v>508</v>
      </c>
      <c r="B256" s="2" t="s">
        <v>408</v>
      </c>
      <c r="C256" s="2" t="str">
        <f>TEXT(Raw_Data[[#This Row],[Order_Date]],"mmmm")</f>
        <v>October</v>
      </c>
      <c r="D256" s="1" t="s">
        <v>36</v>
      </c>
      <c r="E256" s="1" t="s">
        <v>33</v>
      </c>
      <c r="F256" s="1" t="s">
        <v>63</v>
      </c>
      <c r="G256" s="1" t="s">
        <v>27</v>
      </c>
      <c r="H256">
        <v>2</v>
      </c>
      <c r="I256">
        <v>1799</v>
      </c>
      <c r="J256">
        <v>3598</v>
      </c>
      <c r="K256" s="1" t="s">
        <v>17</v>
      </c>
      <c r="L256" s="1" t="s">
        <v>18</v>
      </c>
    </row>
    <row r="257" spans="1:12" x14ac:dyDescent="0.3">
      <c r="A257" s="1" t="s">
        <v>509</v>
      </c>
      <c r="B257" s="2" t="s">
        <v>486</v>
      </c>
      <c r="C257" s="2" t="str">
        <f>TEXT(Raw_Data[[#This Row],[Order_Date]],"mmmm")</f>
        <v>April</v>
      </c>
      <c r="D257" s="1" t="s">
        <v>19</v>
      </c>
      <c r="E257" s="1" t="s">
        <v>37</v>
      </c>
      <c r="F257" s="1" t="s">
        <v>46</v>
      </c>
      <c r="G257" s="1" t="s">
        <v>16</v>
      </c>
      <c r="H257">
        <v>5</v>
      </c>
      <c r="I257">
        <v>1499</v>
      </c>
      <c r="J257">
        <v>7495</v>
      </c>
      <c r="K257" s="1" t="s">
        <v>54</v>
      </c>
      <c r="L257" s="1" t="s">
        <v>18</v>
      </c>
    </row>
    <row r="258" spans="1:12" x14ac:dyDescent="0.3">
      <c r="A258" s="1" t="s">
        <v>510</v>
      </c>
      <c r="B258" s="2" t="s">
        <v>511</v>
      </c>
      <c r="C258" s="2" t="str">
        <f>TEXT(Raw_Data[[#This Row],[Order_Date]],"mmmm")</f>
        <v>March</v>
      </c>
      <c r="D258" s="1" t="s">
        <v>19</v>
      </c>
      <c r="E258" s="1" t="s">
        <v>50</v>
      </c>
      <c r="F258" s="1" t="s">
        <v>21</v>
      </c>
      <c r="G258" s="1" t="s">
        <v>22</v>
      </c>
      <c r="H258">
        <v>5</v>
      </c>
      <c r="I258">
        <v>249</v>
      </c>
      <c r="J258">
        <v>1245</v>
      </c>
      <c r="K258" s="1" t="s">
        <v>23</v>
      </c>
      <c r="L258" s="1" t="s">
        <v>18</v>
      </c>
    </row>
    <row r="259" spans="1:12" x14ac:dyDescent="0.3">
      <c r="A259" s="1" t="s">
        <v>512</v>
      </c>
      <c r="B259" s="2" t="s">
        <v>513</v>
      </c>
      <c r="C259" s="2" t="str">
        <f>TEXT(Raw_Data[[#This Row],[Order_Date]],"mmmm")</f>
        <v>June</v>
      </c>
      <c r="D259" s="1" t="s">
        <v>19</v>
      </c>
      <c r="E259" s="1" t="s">
        <v>56</v>
      </c>
      <c r="F259" s="1" t="s">
        <v>38</v>
      </c>
      <c r="G259" s="1" t="s">
        <v>27</v>
      </c>
      <c r="H259">
        <v>5</v>
      </c>
      <c r="I259">
        <v>12499</v>
      </c>
      <c r="J259">
        <v>62495</v>
      </c>
      <c r="K259" s="1" t="s">
        <v>17</v>
      </c>
      <c r="L259" s="1" t="s">
        <v>18</v>
      </c>
    </row>
    <row r="260" spans="1:12" x14ac:dyDescent="0.3">
      <c r="A260" s="1" t="s">
        <v>514</v>
      </c>
      <c r="B260" s="2" t="s">
        <v>55</v>
      </c>
      <c r="C260" s="2" t="str">
        <f>TEXT(Raw_Data[[#This Row],[Order_Date]],"mmmm")</f>
        <v>October</v>
      </c>
      <c r="D260" s="1" t="s">
        <v>52</v>
      </c>
      <c r="E260" s="1" t="s">
        <v>14</v>
      </c>
      <c r="F260" s="1" t="s">
        <v>38</v>
      </c>
      <c r="G260" s="1" t="s">
        <v>27</v>
      </c>
      <c r="H260">
        <v>2</v>
      </c>
      <c r="I260">
        <v>12499</v>
      </c>
      <c r="J260">
        <v>24998</v>
      </c>
      <c r="K260" s="1" t="s">
        <v>17</v>
      </c>
      <c r="L260" s="1" t="s">
        <v>18</v>
      </c>
    </row>
    <row r="261" spans="1:12" x14ac:dyDescent="0.3">
      <c r="A261" s="1" t="s">
        <v>515</v>
      </c>
      <c r="B261" s="2" t="s">
        <v>68</v>
      </c>
      <c r="C261" s="2" t="str">
        <f>TEXT(Raw_Data[[#This Row],[Order_Date]],"mmmm")</f>
        <v>January</v>
      </c>
      <c r="D261" s="1" t="s">
        <v>19</v>
      </c>
      <c r="E261" s="1" t="s">
        <v>56</v>
      </c>
      <c r="F261" s="1" t="s">
        <v>46</v>
      </c>
      <c r="G261" s="1" t="s">
        <v>16</v>
      </c>
      <c r="H261">
        <v>4</v>
      </c>
      <c r="I261">
        <v>1499</v>
      </c>
      <c r="J261">
        <v>5996</v>
      </c>
      <c r="K261" s="1" t="s">
        <v>28</v>
      </c>
      <c r="L261" s="1" t="s">
        <v>47</v>
      </c>
    </row>
    <row r="262" spans="1:12" x14ac:dyDescent="0.3">
      <c r="A262" s="1" t="s">
        <v>516</v>
      </c>
      <c r="B262" s="2" t="s">
        <v>517</v>
      </c>
      <c r="C262" s="2" t="str">
        <f>TEXT(Raw_Data[[#This Row],[Order_Date]],"mmmm")</f>
        <v>May</v>
      </c>
      <c r="D262" s="1" t="s">
        <v>31</v>
      </c>
      <c r="E262" s="1" t="s">
        <v>14</v>
      </c>
      <c r="F262" s="1" t="s">
        <v>46</v>
      </c>
      <c r="G262" s="1" t="s">
        <v>16</v>
      </c>
      <c r="H262">
        <v>4</v>
      </c>
      <c r="I262">
        <v>1499</v>
      </c>
      <c r="J262">
        <v>5996</v>
      </c>
      <c r="K262" s="1" t="s">
        <v>54</v>
      </c>
      <c r="L262" s="1" t="s">
        <v>18</v>
      </c>
    </row>
    <row r="263" spans="1:12" x14ac:dyDescent="0.3">
      <c r="A263" s="1" t="s">
        <v>518</v>
      </c>
      <c r="B263" s="2" t="s">
        <v>103</v>
      </c>
      <c r="C263" s="2" t="str">
        <f>TEXT(Raw_Data[[#This Row],[Order_Date]],"mmmm")</f>
        <v>February</v>
      </c>
      <c r="D263" s="1" t="s">
        <v>13</v>
      </c>
      <c r="E263" s="1" t="s">
        <v>20</v>
      </c>
      <c r="F263" s="1" t="s">
        <v>80</v>
      </c>
      <c r="G263" s="1" t="s">
        <v>81</v>
      </c>
      <c r="H263">
        <v>3</v>
      </c>
      <c r="I263">
        <v>1299</v>
      </c>
      <c r="J263">
        <v>3897</v>
      </c>
      <c r="K263" s="1" t="s">
        <v>54</v>
      </c>
      <c r="L263" s="1" t="s">
        <v>29</v>
      </c>
    </row>
    <row r="264" spans="1:12" x14ac:dyDescent="0.3">
      <c r="A264" s="1" t="s">
        <v>519</v>
      </c>
      <c r="B264" s="2" t="s">
        <v>90</v>
      </c>
      <c r="C264" s="2" t="str">
        <f>TEXT(Raw_Data[[#This Row],[Order_Date]],"mmmm")</f>
        <v>January</v>
      </c>
      <c r="D264" s="1" t="s">
        <v>39</v>
      </c>
      <c r="E264" s="1" t="s">
        <v>14</v>
      </c>
      <c r="F264" s="1" t="s">
        <v>41</v>
      </c>
      <c r="G264" s="1" t="s">
        <v>42</v>
      </c>
      <c r="H264">
        <v>5</v>
      </c>
      <c r="I264">
        <v>7499</v>
      </c>
      <c r="J264">
        <v>37495</v>
      </c>
      <c r="K264" s="1" t="s">
        <v>28</v>
      </c>
      <c r="L264" s="1" t="s">
        <v>47</v>
      </c>
    </row>
    <row r="265" spans="1:12" x14ac:dyDescent="0.3">
      <c r="A265" s="1" t="s">
        <v>520</v>
      </c>
      <c r="B265" s="2" t="s">
        <v>521</v>
      </c>
      <c r="C265" s="2" t="str">
        <f>TEXT(Raw_Data[[#This Row],[Order_Date]],"mmmm")</f>
        <v>April</v>
      </c>
      <c r="D265" s="1" t="s">
        <v>36</v>
      </c>
      <c r="E265" s="1" t="s">
        <v>37</v>
      </c>
      <c r="F265" s="1" t="s">
        <v>26</v>
      </c>
      <c r="G265" s="1" t="s">
        <v>27</v>
      </c>
      <c r="H265">
        <v>4</v>
      </c>
      <c r="I265">
        <v>2199</v>
      </c>
      <c r="J265">
        <v>8796</v>
      </c>
      <c r="K265" s="1" t="s">
        <v>23</v>
      </c>
      <c r="L265" s="1" t="s">
        <v>18</v>
      </c>
    </row>
    <row r="266" spans="1:12" x14ac:dyDescent="0.3">
      <c r="A266" s="1" t="s">
        <v>522</v>
      </c>
      <c r="B266" s="2" t="s">
        <v>460</v>
      </c>
      <c r="C266" s="2" t="str">
        <f>TEXT(Raw_Data[[#This Row],[Order_Date]],"mmmm")</f>
        <v>September</v>
      </c>
      <c r="D266" s="1" t="s">
        <v>13</v>
      </c>
      <c r="E266" s="1" t="s">
        <v>14</v>
      </c>
      <c r="F266" s="1" t="s">
        <v>26</v>
      </c>
      <c r="G266" s="1" t="s">
        <v>27</v>
      </c>
      <c r="H266">
        <v>1</v>
      </c>
      <c r="I266">
        <v>2199</v>
      </c>
      <c r="J266">
        <v>2199</v>
      </c>
      <c r="K266" s="1" t="s">
        <v>44</v>
      </c>
      <c r="L266" s="1" t="s">
        <v>18</v>
      </c>
    </row>
    <row r="267" spans="1:12" x14ac:dyDescent="0.3">
      <c r="A267" s="1" t="s">
        <v>523</v>
      </c>
      <c r="B267" s="2" t="s">
        <v>191</v>
      </c>
      <c r="C267" s="2" t="str">
        <f>TEXT(Raw_Data[[#This Row],[Order_Date]],"mmmm")</f>
        <v>May</v>
      </c>
      <c r="D267" s="1" t="s">
        <v>19</v>
      </c>
      <c r="E267" s="1" t="s">
        <v>50</v>
      </c>
      <c r="F267" s="1" t="s">
        <v>21</v>
      </c>
      <c r="G267" s="1" t="s">
        <v>22</v>
      </c>
      <c r="H267">
        <v>3</v>
      </c>
      <c r="I267">
        <v>249</v>
      </c>
      <c r="J267">
        <v>747</v>
      </c>
      <c r="K267" s="1" t="s">
        <v>28</v>
      </c>
      <c r="L267" s="1" t="s">
        <v>18</v>
      </c>
    </row>
    <row r="268" spans="1:12" x14ac:dyDescent="0.3">
      <c r="A268" s="1" t="s">
        <v>524</v>
      </c>
      <c r="B268" s="2" t="s">
        <v>143</v>
      </c>
      <c r="C268" s="2" t="str">
        <f>TEXT(Raw_Data[[#This Row],[Order_Date]],"mmmm")</f>
        <v>July</v>
      </c>
      <c r="D268" s="1" t="s">
        <v>52</v>
      </c>
      <c r="E268" s="1" t="s">
        <v>50</v>
      </c>
      <c r="F268" s="1" t="s">
        <v>63</v>
      </c>
      <c r="G268" s="1" t="s">
        <v>27</v>
      </c>
      <c r="H268">
        <v>3</v>
      </c>
      <c r="I268">
        <v>1799</v>
      </c>
      <c r="J268">
        <v>5397</v>
      </c>
      <c r="K268" s="1" t="s">
        <v>23</v>
      </c>
      <c r="L268" s="1" t="s">
        <v>29</v>
      </c>
    </row>
    <row r="269" spans="1:12" x14ac:dyDescent="0.3">
      <c r="A269" s="1" t="s">
        <v>525</v>
      </c>
      <c r="B269" s="2" t="s">
        <v>89</v>
      </c>
      <c r="C269" s="2" t="str">
        <f>TEXT(Raw_Data[[#This Row],[Order_Date]],"mmmm")</f>
        <v>July</v>
      </c>
      <c r="D269" s="1" t="s">
        <v>36</v>
      </c>
      <c r="E269" s="1" t="s">
        <v>56</v>
      </c>
      <c r="F269" s="1" t="s">
        <v>34</v>
      </c>
      <c r="G269" s="1" t="s">
        <v>16</v>
      </c>
      <c r="H269">
        <v>2</v>
      </c>
      <c r="I269">
        <v>999</v>
      </c>
      <c r="J269">
        <v>1998</v>
      </c>
      <c r="K269" s="1" t="s">
        <v>23</v>
      </c>
      <c r="L269" s="1" t="s">
        <v>47</v>
      </c>
    </row>
    <row r="270" spans="1:12" x14ac:dyDescent="0.3">
      <c r="A270" s="1" t="s">
        <v>526</v>
      </c>
      <c r="B270" s="2" t="s">
        <v>504</v>
      </c>
      <c r="C270" s="2" t="str">
        <f>TEXT(Raw_Data[[#This Row],[Order_Date]],"mmmm")</f>
        <v>January</v>
      </c>
      <c r="D270" s="1" t="s">
        <v>31</v>
      </c>
      <c r="E270" s="1" t="s">
        <v>56</v>
      </c>
      <c r="F270" s="1" t="s">
        <v>26</v>
      </c>
      <c r="G270" s="1" t="s">
        <v>27</v>
      </c>
      <c r="H270">
        <v>2</v>
      </c>
      <c r="I270">
        <v>2199</v>
      </c>
      <c r="J270">
        <v>4398</v>
      </c>
      <c r="K270" s="1" t="s">
        <v>54</v>
      </c>
      <c r="L270" s="1" t="s">
        <v>18</v>
      </c>
    </row>
    <row r="271" spans="1:12" x14ac:dyDescent="0.3">
      <c r="A271" s="1" t="s">
        <v>527</v>
      </c>
      <c r="B271" s="2" t="s">
        <v>528</v>
      </c>
      <c r="C271" s="2" t="str">
        <f>TEXT(Raw_Data[[#This Row],[Order_Date]],"mmmm")</f>
        <v>April</v>
      </c>
      <c r="D271" s="1" t="s">
        <v>19</v>
      </c>
      <c r="E271" s="1" t="s">
        <v>14</v>
      </c>
      <c r="F271" s="1" t="s">
        <v>26</v>
      </c>
      <c r="G271" s="1" t="s">
        <v>27</v>
      </c>
      <c r="H271">
        <v>3</v>
      </c>
      <c r="I271">
        <v>2199</v>
      </c>
      <c r="J271">
        <v>6597</v>
      </c>
      <c r="K271" s="1" t="s">
        <v>44</v>
      </c>
      <c r="L271" s="1" t="s">
        <v>47</v>
      </c>
    </row>
    <row r="272" spans="1:12" x14ac:dyDescent="0.3">
      <c r="A272" s="1" t="s">
        <v>529</v>
      </c>
      <c r="B272" s="2" t="s">
        <v>124</v>
      </c>
      <c r="C272" s="2" t="str">
        <f>TEXT(Raw_Data[[#This Row],[Order_Date]],"mmmm")</f>
        <v>September</v>
      </c>
      <c r="D272" s="1" t="s">
        <v>52</v>
      </c>
      <c r="E272" s="1" t="s">
        <v>50</v>
      </c>
      <c r="F272" s="1" t="s">
        <v>34</v>
      </c>
      <c r="G272" s="1" t="s">
        <v>16</v>
      </c>
      <c r="H272">
        <v>3</v>
      </c>
      <c r="I272">
        <v>999</v>
      </c>
      <c r="J272">
        <v>2997</v>
      </c>
      <c r="K272" s="1" t="s">
        <v>17</v>
      </c>
      <c r="L272" s="1" t="s">
        <v>18</v>
      </c>
    </row>
    <row r="273" spans="1:12" x14ac:dyDescent="0.3">
      <c r="A273" s="1" t="s">
        <v>530</v>
      </c>
      <c r="B273" s="2" t="s">
        <v>531</v>
      </c>
      <c r="C273" s="2" t="str">
        <f>TEXT(Raw_Data[[#This Row],[Order_Date]],"mmmm")</f>
        <v>October</v>
      </c>
      <c r="D273" s="1" t="s">
        <v>52</v>
      </c>
      <c r="E273" s="1" t="s">
        <v>53</v>
      </c>
      <c r="F273" s="1" t="s">
        <v>46</v>
      </c>
      <c r="G273" s="1" t="s">
        <v>16</v>
      </c>
      <c r="H273">
        <v>2</v>
      </c>
      <c r="I273">
        <v>1499</v>
      </c>
      <c r="J273">
        <v>2998</v>
      </c>
      <c r="K273" s="1" t="s">
        <v>28</v>
      </c>
      <c r="L273" s="1" t="s">
        <v>18</v>
      </c>
    </row>
    <row r="274" spans="1:12" x14ac:dyDescent="0.3">
      <c r="A274" s="1" t="s">
        <v>532</v>
      </c>
      <c r="B274" s="2" t="s">
        <v>533</v>
      </c>
      <c r="C274" s="2" t="str">
        <f>TEXT(Raw_Data[[#This Row],[Order_Date]],"mmmm")</f>
        <v>February</v>
      </c>
      <c r="D274" s="1" t="s">
        <v>25</v>
      </c>
      <c r="E274" s="1" t="s">
        <v>20</v>
      </c>
      <c r="F274" s="1" t="s">
        <v>21</v>
      </c>
      <c r="G274" s="1" t="s">
        <v>22</v>
      </c>
      <c r="H274">
        <v>1</v>
      </c>
      <c r="I274">
        <v>249</v>
      </c>
      <c r="J274">
        <v>249</v>
      </c>
      <c r="K274" s="1" t="s">
        <v>44</v>
      </c>
      <c r="L274" s="1" t="s">
        <v>18</v>
      </c>
    </row>
    <row r="275" spans="1:12" x14ac:dyDescent="0.3">
      <c r="A275" s="1" t="s">
        <v>534</v>
      </c>
      <c r="B275" s="2" t="s">
        <v>96</v>
      </c>
      <c r="C275" s="2" t="str">
        <f>TEXT(Raw_Data[[#This Row],[Order_Date]],"mmmm")</f>
        <v>December</v>
      </c>
      <c r="D275" s="1" t="s">
        <v>49</v>
      </c>
      <c r="E275" s="1" t="s">
        <v>20</v>
      </c>
      <c r="F275" s="1" t="s">
        <v>26</v>
      </c>
      <c r="G275" s="1" t="s">
        <v>27</v>
      </c>
      <c r="H275">
        <v>1</v>
      </c>
      <c r="I275">
        <v>2199</v>
      </c>
      <c r="J275">
        <v>2199</v>
      </c>
      <c r="K275" s="1" t="s">
        <v>17</v>
      </c>
      <c r="L275" s="1" t="s">
        <v>47</v>
      </c>
    </row>
    <row r="276" spans="1:12" x14ac:dyDescent="0.3">
      <c r="A276" s="1" t="s">
        <v>535</v>
      </c>
      <c r="B276" s="2" t="s">
        <v>497</v>
      </c>
      <c r="C276" s="2" t="str">
        <f>TEXT(Raw_Data[[#This Row],[Order_Date]],"mmmm")</f>
        <v>January</v>
      </c>
      <c r="D276" s="1" t="s">
        <v>52</v>
      </c>
      <c r="E276" s="1" t="s">
        <v>50</v>
      </c>
      <c r="F276" s="1" t="s">
        <v>80</v>
      </c>
      <c r="G276" s="1" t="s">
        <v>81</v>
      </c>
      <c r="H276">
        <v>3</v>
      </c>
      <c r="I276">
        <v>1299</v>
      </c>
      <c r="J276">
        <v>3897</v>
      </c>
      <c r="K276" s="1" t="s">
        <v>23</v>
      </c>
      <c r="L276" s="1" t="s">
        <v>18</v>
      </c>
    </row>
    <row r="277" spans="1:12" x14ac:dyDescent="0.3">
      <c r="A277" s="1" t="s">
        <v>536</v>
      </c>
      <c r="B277" s="2" t="s">
        <v>338</v>
      </c>
      <c r="C277" s="2" t="str">
        <f>TEXT(Raw_Data[[#This Row],[Order_Date]],"mmmm")</f>
        <v>July</v>
      </c>
      <c r="D277" s="1" t="s">
        <v>25</v>
      </c>
      <c r="E277" s="1" t="s">
        <v>20</v>
      </c>
      <c r="F277" s="1" t="s">
        <v>21</v>
      </c>
      <c r="G277" s="1" t="s">
        <v>22</v>
      </c>
      <c r="H277">
        <v>5</v>
      </c>
      <c r="I277">
        <v>249</v>
      </c>
      <c r="J277">
        <v>1245</v>
      </c>
      <c r="K277" s="1" t="s">
        <v>28</v>
      </c>
      <c r="L277" s="1" t="s">
        <v>18</v>
      </c>
    </row>
    <row r="278" spans="1:12" x14ac:dyDescent="0.3">
      <c r="A278" s="1" t="s">
        <v>537</v>
      </c>
      <c r="B278" s="2" t="s">
        <v>504</v>
      </c>
      <c r="C278" s="2" t="str">
        <f>TEXT(Raw_Data[[#This Row],[Order_Date]],"mmmm")</f>
        <v>January</v>
      </c>
      <c r="D278" s="1" t="s">
        <v>19</v>
      </c>
      <c r="E278" s="1" t="s">
        <v>53</v>
      </c>
      <c r="F278" s="1" t="s">
        <v>21</v>
      </c>
      <c r="G278" s="1" t="s">
        <v>22</v>
      </c>
      <c r="H278">
        <v>3</v>
      </c>
      <c r="I278">
        <v>249</v>
      </c>
      <c r="J278">
        <v>747</v>
      </c>
      <c r="K278" s="1" t="s">
        <v>23</v>
      </c>
      <c r="L278" s="1" t="s">
        <v>18</v>
      </c>
    </row>
    <row r="279" spans="1:12" x14ac:dyDescent="0.3">
      <c r="A279" s="1" t="s">
        <v>538</v>
      </c>
      <c r="B279" s="2" t="s">
        <v>539</v>
      </c>
      <c r="C279" s="2" t="str">
        <f>TEXT(Raw_Data[[#This Row],[Order_Date]],"mmmm")</f>
        <v>May</v>
      </c>
      <c r="D279" s="1" t="s">
        <v>13</v>
      </c>
      <c r="E279" s="1" t="s">
        <v>37</v>
      </c>
      <c r="F279" s="1" t="s">
        <v>21</v>
      </c>
      <c r="G279" s="1" t="s">
        <v>22</v>
      </c>
      <c r="H279">
        <v>2</v>
      </c>
      <c r="I279">
        <v>249</v>
      </c>
      <c r="J279">
        <v>498</v>
      </c>
      <c r="K279" s="1" t="s">
        <v>54</v>
      </c>
      <c r="L279" s="1" t="s">
        <v>18</v>
      </c>
    </row>
    <row r="280" spans="1:12" x14ac:dyDescent="0.3">
      <c r="A280" s="1" t="s">
        <v>540</v>
      </c>
      <c r="B280" s="2" t="s">
        <v>488</v>
      </c>
      <c r="C280" s="2" t="str">
        <f>TEXT(Raw_Data[[#This Row],[Order_Date]],"mmmm")</f>
        <v>July</v>
      </c>
      <c r="D280" s="1" t="s">
        <v>541</v>
      </c>
      <c r="E280" s="1" t="s">
        <v>50</v>
      </c>
      <c r="F280" s="1" t="s">
        <v>38</v>
      </c>
      <c r="G280" s="1" t="s">
        <v>27</v>
      </c>
      <c r="H280">
        <v>1</v>
      </c>
      <c r="I280">
        <v>12499</v>
      </c>
      <c r="J280">
        <v>12499</v>
      </c>
      <c r="K280" s="1" t="s">
        <v>28</v>
      </c>
      <c r="L280" s="1" t="s">
        <v>18</v>
      </c>
    </row>
    <row r="281" spans="1:12" x14ac:dyDescent="0.3">
      <c r="A281" s="1" t="s">
        <v>542</v>
      </c>
      <c r="B281" s="2" t="s">
        <v>51</v>
      </c>
      <c r="C281" s="2" t="str">
        <f>TEXT(Raw_Data[[#This Row],[Order_Date]],"mmmm")</f>
        <v>December</v>
      </c>
      <c r="D281" s="1" t="s">
        <v>39</v>
      </c>
      <c r="E281" s="1" t="s">
        <v>20</v>
      </c>
      <c r="F281" s="1" t="s">
        <v>26</v>
      </c>
      <c r="G281" s="1" t="s">
        <v>27</v>
      </c>
      <c r="H281">
        <v>3</v>
      </c>
      <c r="I281">
        <v>2199</v>
      </c>
      <c r="J281">
        <v>6597</v>
      </c>
      <c r="K281" s="1" t="s">
        <v>23</v>
      </c>
      <c r="L281" s="1" t="s">
        <v>29</v>
      </c>
    </row>
    <row r="282" spans="1:12" x14ac:dyDescent="0.3">
      <c r="A282" s="1" t="s">
        <v>543</v>
      </c>
      <c r="B282" s="2" t="s">
        <v>187</v>
      </c>
      <c r="C282" s="2" t="str">
        <f>TEXT(Raw_Data[[#This Row],[Order_Date]],"mmmm")</f>
        <v>October</v>
      </c>
      <c r="D282" s="1" t="s">
        <v>52</v>
      </c>
      <c r="E282" s="1" t="s">
        <v>20</v>
      </c>
      <c r="F282" s="1" t="s">
        <v>38</v>
      </c>
      <c r="G282" s="1" t="s">
        <v>27</v>
      </c>
      <c r="H282">
        <v>4</v>
      </c>
      <c r="I282">
        <v>12499</v>
      </c>
      <c r="J282">
        <v>49996</v>
      </c>
      <c r="K282" s="1" t="s">
        <v>23</v>
      </c>
      <c r="L282" s="1" t="s">
        <v>18</v>
      </c>
    </row>
    <row r="283" spans="1:12" x14ac:dyDescent="0.3">
      <c r="A283" s="1" t="s">
        <v>544</v>
      </c>
      <c r="B283" s="2" t="s">
        <v>545</v>
      </c>
      <c r="C283" s="2" t="str">
        <f>TEXT(Raw_Data[[#This Row],[Order_Date]],"mmmm")</f>
        <v>August</v>
      </c>
      <c r="D283" s="1" t="s">
        <v>36</v>
      </c>
      <c r="E283" s="1" t="s">
        <v>58</v>
      </c>
      <c r="F283" s="1" t="s">
        <v>15</v>
      </c>
      <c r="G283" s="1" t="s">
        <v>16</v>
      </c>
      <c r="H283">
        <v>4</v>
      </c>
      <c r="I283">
        <v>899</v>
      </c>
      <c r="J283">
        <v>3596</v>
      </c>
      <c r="K283" s="1" t="s">
        <v>28</v>
      </c>
      <c r="L283" s="1" t="s">
        <v>18</v>
      </c>
    </row>
    <row r="284" spans="1:12" x14ac:dyDescent="0.3">
      <c r="A284" s="1" t="s">
        <v>546</v>
      </c>
      <c r="B284" s="2" t="s">
        <v>547</v>
      </c>
      <c r="C284" s="2" t="str">
        <f>TEXT(Raw_Data[[#This Row],[Order_Date]],"mmmm")</f>
        <v>December</v>
      </c>
      <c r="D284" s="1" t="s">
        <v>52</v>
      </c>
      <c r="E284" s="1" t="s">
        <v>37</v>
      </c>
      <c r="F284" s="1" t="s">
        <v>26</v>
      </c>
      <c r="G284" s="1" t="s">
        <v>27</v>
      </c>
      <c r="H284">
        <v>2</v>
      </c>
      <c r="I284">
        <v>2199</v>
      </c>
      <c r="J284">
        <v>4398</v>
      </c>
      <c r="K284" s="1" t="s">
        <v>23</v>
      </c>
      <c r="L284" s="1" t="s">
        <v>18</v>
      </c>
    </row>
    <row r="285" spans="1:12" x14ac:dyDescent="0.3">
      <c r="A285" s="1" t="s">
        <v>548</v>
      </c>
      <c r="B285" s="2" t="s">
        <v>115</v>
      </c>
      <c r="C285" s="2" t="str">
        <f>TEXT(Raw_Data[[#This Row],[Order_Date]],"mmmm")</f>
        <v>October</v>
      </c>
      <c r="D285" s="1" t="s">
        <v>25</v>
      </c>
      <c r="E285" s="1" t="s">
        <v>53</v>
      </c>
      <c r="F285" s="1" t="s">
        <v>63</v>
      </c>
      <c r="G285" s="1" t="s">
        <v>27</v>
      </c>
      <c r="H285">
        <v>5</v>
      </c>
      <c r="I285">
        <v>1799</v>
      </c>
      <c r="J285">
        <v>8995</v>
      </c>
      <c r="K285" s="1" t="s">
        <v>54</v>
      </c>
      <c r="L285" s="1" t="s">
        <v>18</v>
      </c>
    </row>
    <row r="286" spans="1:12" x14ac:dyDescent="0.3">
      <c r="A286" s="1" t="s">
        <v>549</v>
      </c>
      <c r="B286" s="2" t="s">
        <v>550</v>
      </c>
      <c r="C286" s="2" t="str">
        <f>TEXT(Raw_Data[[#This Row],[Order_Date]],"mmmm")</f>
        <v>March</v>
      </c>
      <c r="D286" s="1" t="s">
        <v>19</v>
      </c>
      <c r="E286" s="1" t="s">
        <v>58</v>
      </c>
      <c r="F286" s="1" t="s">
        <v>26</v>
      </c>
      <c r="G286" s="1" t="s">
        <v>27</v>
      </c>
      <c r="H286">
        <v>5</v>
      </c>
      <c r="I286">
        <v>2199</v>
      </c>
      <c r="J286">
        <v>10995</v>
      </c>
      <c r="K286" s="1" t="s">
        <v>54</v>
      </c>
      <c r="L286" s="1" t="s">
        <v>18</v>
      </c>
    </row>
    <row r="287" spans="1:12" x14ac:dyDescent="0.3">
      <c r="A287" s="1" t="s">
        <v>551</v>
      </c>
      <c r="B287" s="2" t="s">
        <v>289</v>
      </c>
      <c r="C287" s="2" t="str">
        <f>TEXT(Raw_Data[[#This Row],[Order_Date]],"mmmm")</f>
        <v>October</v>
      </c>
      <c r="D287" s="1" t="s">
        <v>19</v>
      </c>
      <c r="E287" s="1" t="s">
        <v>33</v>
      </c>
      <c r="F287" s="1" t="s">
        <v>41</v>
      </c>
      <c r="G287" s="1" t="s">
        <v>42</v>
      </c>
      <c r="H287">
        <v>2</v>
      </c>
      <c r="I287">
        <v>7499</v>
      </c>
      <c r="J287">
        <v>14998</v>
      </c>
      <c r="K287" s="1" t="s">
        <v>44</v>
      </c>
      <c r="L287" s="1" t="s">
        <v>18</v>
      </c>
    </row>
    <row r="288" spans="1:12" x14ac:dyDescent="0.3">
      <c r="A288" s="1" t="s">
        <v>552</v>
      </c>
      <c r="B288" s="2" t="s">
        <v>553</v>
      </c>
      <c r="C288" s="2" t="str">
        <f>TEXT(Raw_Data[[#This Row],[Order_Date]],"mmmm")</f>
        <v>June</v>
      </c>
      <c r="D288" s="1" t="s">
        <v>25</v>
      </c>
      <c r="E288" s="1" t="s">
        <v>58</v>
      </c>
      <c r="F288" s="1" t="s">
        <v>15</v>
      </c>
      <c r="G288" s="1" t="s">
        <v>16</v>
      </c>
      <c r="H288">
        <v>5</v>
      </c>
      <c r="I288">
        <v>899</v>
      </c>
      <c r="J288">
        <v>4495</v>
      </c>
      <c r="K288" s="1" t="s">
        <v>44</v>
      </c>
      <c r="L288" s="1" t="s">
        <v>18</v>
      </c>
    </row>
    <row r="289" spans="1:12" x14ac:dyDescent="0.3">
      <c r="A289" s="1" t="s">
        <v>554</v>
      </c>
      <c r="B289" s="2" t="s">
        <v>85</v>
      </c>
      <c r="C289" s="2" t="str">
        <f>TEXT(Raw_Data[[#This Row],[Order_Date]],"mmmm")</f>
        <v>November</v>
      </c>
      <c r="D289" s="1" t="s">
        <v>19</v>
      </c>
      <c r="E289" s="1" t="s">
        <v>33</v>
      </c>
      <c r="F289" s="1" t="s">
        <v>15</v>
      </c>
      <c r="G289" s="1" t="s">
        <v>16</v>
      </c>
      <c r="H289">
        <v>3</v>
      </c>
      <c r="I289">
        <v>899</v>
      </c>
      <c r="J289">
        <v>2697</v>
      </c>
      <c r="K289" s="1" t="s">
        <v>23</v>
      </c>
      <c r="L289" s="1" t="s">
        <v>18</v>
      </c>
    </row>
    <row r="290" spans="1:12" x14ac:dyDescent="0.3">
      <c r="A290" s="1" t="s">
        <v>555</v>
      </c>
      <c r="B290" s="2" t="s">
        <v>206</v>
      </c>
      <c r="C290" s="2" t="str">
        <f>TEXT(Raw_Data[[#This Row],[Order_Date]],"mmmm")</f>
        <v>April</v>
      </c>
      <c r="D290" s="1" t="s">
        <v>36</v>
      </c>
      <c r="E290" s="1" t="s">
        <v>56</v>
      </c>
      <c r="F290" s="1" t="s">
        <v>80</v>
      </c>
      <c r="G290" s="1" t="s">
        <v>81</v>
      </c>
      <c r="H290">
        <v>4</v>
      </c>
      <c r="I290">
        <v>1299</v>
      </c>
      <c r="J290">
        <v>5196</v>
      </c>
      <c r="K290" s="1" t="s">
        <v>44</v>
      </c>
      <c r="L290" s="1" t="s">
        <v>18</v>
      </c>
    </row>
    <row r="291" spans="1:12" x14ac:dyDescent="0.3">
      <c r="A291" s="1" t="s">
        <v>556</v>
      </c>
      <c r="B291" s="2" t="s">
        <v>557</v>
      </c>
      <c r="C291" s="2" t="str">
        <f>TEXT(Raw_Data[[#This Row],[Order_Date]],"mmmm")</f>
        <v>February</v>
      </c>
      <c r="D291" s="1" t="s">
        <v>31</v>
      </c>
      <c r="E291" s="1" t="s">
        <v>14</v>
      </c>
      <c r="F291" s="1" t="s">
        <v>41</v>
      </c>
      <c r="G291" s="1" t="s">
        <v>42</v>
      </c>
      <c r="H291">
        <v>4</v>
      </c>
      <c r="I291">
        <v>7499</v>
      </c>
      <c r="J291">
        <v>29996</v>
      </c>
      <c r="K291" s="1" t="s">
        <v>23</v>
      </c>
      <c r="L291" s="1" t="s">
        <v>18</v>
      </c>
    </row>
    <row r="292" spans="1:12" x14ac:dyDescent="0.3">
      <c r="A292" s="1" t="s">
        <v>558</v>
      </c>
      <c r="B292" s="2" t="s">
        <v>462</v>
      </c>
      <c r="C292" s="2" t="str">
        <f>TEXT(Raw_Data[[#This Row],[Order_Date]],"mmmm")</f>
        <v>July</v>
      </c>
      <c r="D292" s="1" t="s">
        <v>49</v>
      </c>
      <c r="E292" s="1" t="s">
        <v>56</v>
      </c>
      <c r="F292" s="1" t="s">
        <v>63</v>
      </c>
      <c r="G292" s="1" t="s">
        <v>27</v>
      </c>
      <c r="H292">
        <v>2</v>
      </c>
      <c r="I292">
        <v>1799</v>
      </c>
      <c r="J292">
        <v>3598</v>
      </c>
      <c r="K292" s="1" t="s">
        <v>54</v>
      </c>
      <c r="L292" s="1" t="s">
        <v>18</v>
      </c>
    </row>
    <row r="293" spans="1:12" x14ac:dyDescent="0.3">
      <c r="A293" s="1" t="s">
        <v>559</v>
      </c>
      <c r="B293" s="2" t="s">
        <v>560</v>
      </c>
      <c r="C293" s="2" t="str">
        <f>TEXT(Raw_Data[[#This Row],[Order_Date]],"mmmm")</f>
        <v>January</v>
      </c>
      <c r="D293" s="1" t="s">
        <v>31</v>
      </c>
      <c r="E293" s="1" t="s">
        <v>50</v>
      </c>
      <c r="F293" s="1" t="s">
        <v>15</v>
      </c>
      <c r="G293" s="1" t="s">
        <v>16</v>
      </c>
      <c r="H293">
        <v>1</v>
      </c>
      <c r="I293">
        <v>899</v>
      </c>
      <c r="J293">
        <v>899</v>
      </c>
      <c r="K293" s="1" t="s">
        <v>54</v>
      </c>
      <c r="L293" s="1" t="s">
        <v>18</v>
      </c>
    </row>
    <row r="294" spans="1:12" x14ac:dyDescent="0.3">
      <c r="A294" s="1" t="s">
        <v>561</v>
      </c>
      <c r="B294" s="2" t="s">
        <v>562</v>
      </c>
      <c r="C294" s="2" t="str">
        <f>TEXT(Raw_Data[[#This Row],[Order_Date]],"mmmm")</f>
        <v>February</v>
      </c>
      <c r="D294" s="1" t="s">
        <v>49</v>
      </c>
      <c r="E294" s="1" t="s">
        <v>56</v>
      </c>
      <c r="F294" s="1" t="s">
        <v>15</v>
      </c>
      <c r="G294" s="1" t="s">
        <v>16</v>
      </c>
      <c r="H294">
        <v>2</v>
      </c>
      <c r="I294">
        <v>899</v>
      </c>
      <c r="J294">
        <v>1798</v>
      </c>
      <c r="K294" s="1" t="s">
        <v>44</v>
      </c>
      <c r="L294" s="1" t="s">
        <v>47</v>
      </c>
    </row>
    <row r="295" spans="1:12" x14ac:dyDescent="0.3">
      <c r="A295" s="1" t="s">
        <v>563</v>
      </c>
      <c r="B295" s="2" t="s">
        <v>91</v>
      </c>
      <c r="C295" s="2" t="str">
        <f>TEXT(Raw_Data[[#This Row],[Order_Date]],"mmmm")</f>
        <v>July</v>
      </c>
      <c r="D295" s="1" t="s">
        <v>39</v>
      </c>
      <c r="E295" s="1" t="s">
        <v>20</v>
      </c>
      <c r="F295" s="1" t="s">
        <v>21</v>
      </c>
      <c r="G295" s="1" t="s">
        <v>22</v>
      </c>
      <c r="H295">
        <v>5</v>
      </c>
      <c r="I295">
        <v>249</v>
      </c>
      <c r="J295">
        <v>1245</v>
      </c>
      <c r="K295" s="1" t="s">
        <v>23</v>
      </c>
      <c r="L295" s="1" t="s">
        <v>18</v>
      </c>
    </row>
    <row r="296" spans="1:12" x14ac:dyDescent="0.3">
      <c r="A296" s="1" t="s">
        <v>564</v>
      </c>
      <c r="B296" s="2" t="s">
        <v>565</v>
      </c>
      <c r="C296" s="2" t="str">
        <f>TEXT(Raw_Data[[#This Row],[Order_Date]],"mmmm")</f>
        <v>November</v>
      </c>
      <c r="D296" s="1" t="s">
        <v>36</v>
      </c>
      <c r="E296" s="1" t="s">
        <v>56</v>
      </c>
      <c r="F296" s="1" t="s">
        <v>21</v>
      </c>
      <c r="G296" s="1" t="s">
        <v>22</v>
      </c>
      <c r="H296">
        <v>1</v>
      </c>
      <c r="I296">
        <v>249</v>
      </c>
      <c r="J296">
        <v>249</v>
      </c>
      <c r="K296" s="1" t="s">
        <v>23</v>
      </c>
      <c r="L296" s="1" t="s">
        <v>18</v>
      </c>
    </row>
    <row r="297" spans="1:12" x14ac:dyDescent="0.3">
      <c r="A297" s="1" t="s">
        <v>566</v>
      </c>
      <c r="B297" s="2" t="s">
        <v>557</v>
      </c>
      <c r="C297" s="2" t="str">
        <f>TEXT(Raw_Data[[#This Row],[Order_Date]],"mmmm")</f>
        <v>February</v>
      </c>
      <c r="D297" s="1" t="s">
        <v>13</v>
      </c>
      <c r="E297" s="1" t="s">
        <v>53</v>
      </c>
      <c r="F297" s="1" t="s">
        <v>38</v>
      </c>
      <c r="G297" s="1" t="s">
        <v>27</v>
      </c>
      <c r="H297">
        <v>4</v>
      </c>
      <c r="I297">
        <v>12499</v>
      </c>
      <c r="J297">
        <v>49996</v>
      </c>
      <c r="K297" s="1" t="s">
        <v>44</v>
      </c>
      <c r="L297" s="1" t="s">
        <v>18</v>
      </c>
    </row>
    <row r="298" spans="1:12" x14ac:dyDescent="0.3">
      <c r="A298" s="1" t="s">
        <v>567</v>
      </c>
      <c r="B298" s="2" t="s">
        <v>100</v>
      </c>
      <c r="C298" s="2" t="str">
        <f>TEXT(Raw_Data[[#This Row],[Order_Date]],"mmmm")</f>
        <v>June</v>
      </c>
      <c r="D298" s="1" t="s">
        <v>31</v>
      </c>
      <c r="E298" s="1" t="s">
        <v>50</v>
      </c>
      <c r="F298" s="1" t="s">
        <v>46</v>
      </c>
      <c r="G298" s="1" t="s">
        <v>16</v>
      </c>
      <c r="H298">
        <v>3</v>
      </c>
      <c r="I298">
        <v>1499</v>
      </c>
      <c r="J298">
        <v>4497</v>
      </c>
      <c r="K298" s="1" t="s">
        <v>17</v>
      </c>
      <c r="L298" s="1" t="s">
        <v>18</v>
      </c>
    </row>
    <row r="299" spans="1:12" x14ac:dyDescent="0.3">
      <c r="A299" s="1" t="s">
        <v>568</v>
      </c>
      <c r="B299" s="2" t="s">
        <v>251</v>
      </c>
      <c r="C299" s="2" t="str">
        <f>TEXT(Raw_Data[[#This Row],[Order_Date]],"mmmm")</f>
        <v>May</v>
      </c>
      <c r="D299" s="1" t="s">
        <v>19</v>
      </c>
      <c r="E299" s="1" t="s">
        <v>37</v>
      </c>
      <c r="F299" s="1" t="s">
        <v>46</v>
      </c>
      <c r="G299" s="1" t="s">
        <v>16</v>
      </c>
      <c r="H299">
        <v>4</v>
      </c>
      <c r="I299">
        <v>1499</v>
      </c>
      <c r="J299">
        <v>5996</v>
      </c>
      <c r="K299" s="1" t="s">
        <v>44</v>
      </c>
      <c r="L299" s="1" t="s">
        <v>18</v>
      </c>
    </row>
    <row r="300" spans="1:12" x14ac:dyDescent="0.3">
      <c r="A300" s="1" t="s">
        <v>569</v>
      </c>
      <c r="B300" s="2" t="s">
        <v>570</v>
      </c>
      <c r="C300" s="2" t="str">
        <f>TEXT(Raw_Data[[#This Row],[Order_Date]],"mmmm")</f>
        <v>May</v>
      </c>
      <c r="D300" s="1" t="s">
        <v>52</v>
      </c>
      <c r="E300" s="1" t="s">
        <v>14</v>
      </c>
      <c r="F300" s="1" t="s">
        <v>34</v>
      </c>
      <c r="G300" s="1" t="s">
        <v>16</v>
      </c>
      <c r="H300">
        <v>3</v>
      </c>
      <c r="I300">
        <v>999</v>
      </c>
      <c r="J300">
        <v>2997</v>
      </c>
      <c r="K300" s="1" t="s">
        <v>44</v>
      </c>
      <c r="L300" s="1" t="s">
        <v>18</v>
      </c>
    </row>
    <row r="301" spans="1:12" x14ac:dyDescent="0.3">
      <c r="A301" s="1" t="s">
        <v>571</v>
      </c>
      <c r="B301" s="2" t="s">
        <v>298</v>
      </c>
      <c r="C301" s="2" t="str">
        <f>TEXT(Raw_Data[[#This Row],[Order_Date]],"mmmm")</f>
        <v>January</v>
      </c>
      <c r="D301" s="1" t="s">
        <v>19</v>
      </c>
      <c r="E301" s="1" t="s">
        <v>33</v>
      </c>
      <c r="F301" s="1" t="s">
        <v>46</v>
      </c>
      <c r="G301" s="1" t="s">
        <v>16</v>
      </c>
      <c r="H301">
        <v>3</v>
      </c>
      <c r="I301">
        <v>1499</v>
      </c>
      <c r="J301">
        <v>4497</v>
      </c>
      <c r="K301" s="1" t="s">
        <v>28</v>
      </c>
      <c r="L301" s="1" t="s">
        <v>29</v>
      </c>
    </row>
    <row r="302" spans="1:12" x14ac:dyDescent="0.3">
      <c r="A302" s="1" t="s">
        <v>572</v>
      </c>
      <c r="B302" s="2" t="s">
        <v>573</v>
      </c>
      <c r="C302" s="2" t="str">
        <f>TEXT(Raw_Data[[#This Row],[Order_Date]],"mmmm")</f>
        <v>June</v>
      </c>
      <c r="D302" s="1" t="s">
        <v>19</v>
      </c>
      <c r="E302" s="1" t="s">
        <v>53</v>
      </c>
      <c r="F302" s="1" t="s">
        <v>34</v>
      </c>
      <c r="G302" s="1" t="s">
        <v>16</v>
      </c>
      <c r="H302">
        <v>4</v>
      </c>
      <c r="I302">
        <v>999</v>
      </c>
      <c r="J302">
        <v>3996</v>
      </c>
      <c r="K302" s="1" t="s">
        <v>54</v>
      </c>
      <c r="L302" s="1" t="s">
        <v>18</v>
      </c>
    </row>
    <row r="303" spans="1:12" x14ac:dyDescent="0.3">
      <c r="A303" s="1" t="s">
        <v>574</v>
      </c>
      <c r="B303" s="2" t="s">
        <v>460</v>
      </c>
      <c r="C303" s="2" t="str">
        <f>TEXT(Raw_Data[[#This Row],[Order_Date]],"mmmm")</f>
        <v>September</v>
      </c>
      <c r="D303" s="1" t="s">
        <v>36</v>
      </c>
      <c r="E303" s="1" t="s">
        <v>53</v>
      </c>
      <c r="F303" s="1" t="s">
        <v>41</v>
      </c>
      <c r="G303" s="1" t="s">
        <v>42</v>
      </c>
      <c r="H303">
        <v>2</v>
      </c>
      <c r="I303">
        <v>7499</v>
      </c>
      <c r="J303">
        <v>14998</v>
      </c>
      <c r="K303" s="1" t="s">
        <v>44</v>
      </c>
      <c r="L303" s="1" t="s">
        <v>18</v>
      </c>
    </row>
    <row r="304" spans="1:12" x14ac:dyDescent="0.3">
      <c r="A304" s="1" t="s">
        <v>575</v>
      </c>
      <c r="B304" s="2" t="s">
        <v>408</v>
      </c>
      <c r="C304" s="2" t="str">
        <f>TEXT(Raw_Data[[#This Row],[Order_Date]],"mmmm")</f>
        <v>October</v>
      </c>
      <c r="D304" s="1" t="s">
        <v>13</v>
      </c>
      <c r="E304" s="1" t="s">
        <v>33</v>
      </c>
      <c r="F304" s="1" t="s">
        <v>63</v>
      </c>
      <c r="G304" s="1" t="s">
        <v>27</v>
      </c>
      <c r="H304">
        <v>4</v>
      </c>
      <c r="I304">
        <v>1799</v>
      </c>
      <c r="J304">
        <v>7196</v>
      </c>
      <c r="K304" s="1" t="s">
        <v>44</v>
      </c>
      <c r="L304" s="1" t="s">
        <v>18</v>
      </c>
    </row>
    <row r="305" spans="1:12" x14ac:dyDescent="0.3">
      <c r="A305" s="1" t="s">
        <v>576</v>
      </c>
      <c r="B305" s="2" t="s">
        <v>232</v>
      </c>
      <c r="C305" s="2" t="str">
        <f>TEXT(Raw_Data[[#This Row],[Order_Date]],"mmmm")</f>
        <v>February</v>
      </c>
      <c r="D305" s="1" t="s">
        <v>13</v>
      </c>
      <c r="E305" s="1" t="s">
        <v>53</v>
      </c>
      <c r="F305" s="1" t="s">
        <v>38</v>
      </c>
      <c r="G305" s="1" t="s">
        <v>27</v>
      </c>
      <c r="H305">
        <v>3</v>
      </c>
      <c r="I305">
        <v>12499</v>
      </c>
      <c r="J305">
        <v>37497</v>
      </c>
      <c r="K305" s="1" t="s">
        <v>28</v>
      </c>
      <c r="L305" s="1" t="s">
        <v>18</v>
      </c>
    </row>
    <row r="306" spans="1:12" hidden="1" x14ac:dyDescent="0.3">
      <c r="A306" s="1" t="s">
        <v>577</v>
      </c>
      <c r="B306" s="1"/>
      <c r="C306" s="2" t="str">
        <f>TEXT(Raw_Data[[#This Row],[Order_Date]],"mmmm")</f>
        <v>January</v>
      </c>
      <c r="D306" s="1" t="s">
        <v>31</v>
      </c>
      <c r="E306" s="1" t="s">
        <v>58</v>
      </c>
      <c r="F306" s="1" t="s">
        <v>80</v>
      </c>
      <c r="G306" s="1" t="s">
        <v>81</v>
      </c>
      <c r="H306">
        <v>2</v>
      </c>
      <c r="I306">
        <v>1299</v>
      </c>
      <c r="J306">
        <v>2598</v>
      </c>
      <c r="K306" s="1" t="s">
        <v>44</v>
      </c>
      <c r="L306" s="1" t="s">
        <v>29</v>
      </c>
    </row>
    <row r="307" spans="1:12" x14ac:dyDescent="0.3">
      <c r="A307" s="1" t="s">
        <v>578</v>
      </c>
      <c r="B307" s="2" t="s">
        <v>539</v>
      </c>
      <c r="C307" s="2" t="str">
        <f>TEXT(Raw_Data[[#This Row],[Order_Date]],"mmmm")</f>
        <v>May</v>
      </c>
      <c r="D307" s="1" t="s">
        <v>31</v>
      </c>
      <c r="E307" s="1" t="s">
        <v>53</v>
      </c>
      <c r="F307" s="1" t="s">
        <v>46</v>
      </c>
      <c r="G307" s="1" t="s">
        <v>16</v>
      </c>
      <c r="H307">
        <v>3</v>
      </c>
      <c r="I307">
        <v>1499</v>
      </c>
      <c r="J307">
        <v>4497</v>
      </c>
      <c r="K307" s="1" t="s">
        <v>44</v>
      </c>
      <c r="L307" s="1" t="s">
        <v>29</v>
      </c>
    </row>
    <row r="308" spans="1:12" x14ac:dyDescent="0.3">
      <c r="A308" s="1" t="s">
        <v>579</v>
      </c>
      <c r="B308" s="2" t="s">
        <v>580</v>
      </c>
      <c r="C308" s="2" t="str">
        <f>TEXT(Raw_Data[[#This Row],[Order_Date]],"mmmm")</f>
        <v>November</v>
      </c>
      <c r="D308" s="1" t="s">
        <v>52</v>
      </c>
      <c r="E308" s="1" t="s">
        <v>56</v>
      </c>
      <c r="F308" s="1" t="s">
        <v>15</v>
      </c>
      <c r="G308" s="1" t="s">
        <v>16</v>
      </c>
      <c r="H308">
        <v>4</v>
      </c>
      <c r="I308">
        <v>899</v>
      </c>
      <c r="J308">
        <v>3596</v>
      </c>
      <c r="K308" s="1" t="s">
        <v>28</v>
      </c>
      <c r="L308" s="1" t="s">
        <v>47</v>
      </c>
    </row>
    <row r="309" spans="1:12" x14ac:dyDescent="0.3">
      <c r="A309" s="1" t="s">
        <v>581</v>
      </c>
      <c r="B309" s="2" t="s">
        <v>582</v>
      </c>
      <c r="C309" s="2" t="str">
        <f>TEXT(Raw_Data[[#This Row],[Order_Date]],"mmmm")</f>
        <v>January</v>
      </c>
      <c r="D309" s="1" t="s">
        <v>36</v>
      </c>
      <c r="E309" s="1" t="s">
        <v>58</v>
      </c>
      <c r="F309" s="1" t="s">
        <v>38</v>
      </c>
      <c r="G309" s="1" t="s">
        <v>27</v>
      </c>
      <c r="H309">
        <v>5</v>
      </c>
      <c r="I309">
        <v>12499</v>
      </c>
      <c r="J309">
        <v>62495</v>
      </c>
      <c r="K309" s="1" t="s">
        <v>23</v>
      </c>
      <c r="L309" s="1" t="s">
        <v>18</v>
      </c>
    </row>
    <row r="310" spans="1:12" x14ac:dyDescent="0.3">
      <c r="A310" s="1" t="s">
        <v>583</v>
      </c>
      <c r="B310" s="2" t="s">
        <v>376</v>
      </c>
      <c r="C310" s="2" t="str">
        <f>TEXT(Raw_Data[[#This Row],[Order_Date]],"mmmm")</f>
        <v>November</v>
      </c>
      <c r="D310" s="1" t="s">
        <v>25</v>
      </c>
      <c r="E310" s="1" t="s">
        <v>56</v>
      </c>
      <c r="F310" s="1" t="s">
        <v>34</v>
      </c>
      <c r="G310" s="1" t="s">
        <v>16</v>
      </c>
      <c r="H310">
        <v>2</v>
      </c>
      <c r="I310">
        <v>999</v>
      </c>
      <c r="J310">
        <v>1998</v>
      </c>
      <c r="K310" s="1" t="s">
        <v>54</v>
      </c>
      <c r="L310" s="1" t="s">
        <v>29</v>
      </c>
    </row>
    <row r="311" spans="1:12" x14ac:dyDescent="0.3">
      <c r="A311" s="1" t="s">
        <v>584</v>
      </c>
      <c r="B311" s="2" t="s">
        <v>585</v>
      </c>
      <c r="C311" s="2" t="str">
        <f>TEXT(Raw_Data[[#This Row],[Order_Date]],"mmmm")</f>
        <v>February</v>
      </c>
      <c r="D311" s="1" t="s">
        <v>31</v>
      </c>
      <c r="E311" s="1" t="s">
        <v>14</v>
      </c>
      <c r="F311" s="1" t="s">
        <v>15</v>
      </c>
      <c r="G311" s="1" t="s">
        <v>16</v>
      </c>
      <c r="H311">
        <v>1</v>
      </c>
      <c r="I311">
        <v>899</v>
      </c>
      <c r="J311">
        <v>899</v>
      </c>
      <c r="K311" s="1" t="s">
        <v>28</v>
      </c>
      <c r="L311" s="1" t="s">
        <v>47</v>
      </c>
    </row>
    <row r="312" spans="1:12" x14ac:dyDescent="0.3">
      <c r="A312" s="1" t="s">
        <v>586</v>
      </c>
      <c r="B312" s="2" t="s">
        <v>587</v>
      </c>
      <c r="C312" s="2" t="str">
        <f>TEXT(Raw_Data[[#This Row],[Order_Date]],"mmmm")</f>
        <v>December</v>
      </c>
      <c r="D312" s="1" t="s">
        <v>13</v>
      </c>
      <c r="E312" s="1" t="s">
        <v>50</v>
      </c>
      <c r="F312" s="1" t="s">
        <v>21</v>
      </c>
      <c r="G312" s="1" t="s">
        <v>22</v>
      </c>
      <c r="H312">
        <v>5</v>
      </c>
      <c r="I312">
        <v>249</v>
      </c>
      <c r="J312">
        <v>1245</v>
      </c>
      <c r="K312" s="1" t="s">
        <v>54</v>
      </c>
      <c r="L312" s="1" t="s">
        <v>29</v>
      </c>
    </row>
    <row r="313" spans="1:12" x14ac:dyDescent="0.3">
      <c r="A313" s="1" t="s">
        <v>588</v>
      </c>
      <c r="B313" s="2" t="s">
        <v>452</v>
      </c>
      <c r="C313" s="2" t="str">
        <f>TEXT(Raw_Data[[#This Row],[Order_Date]],"mmmm")</f>
        <v>December</v>
      </c>
      <c r="D313" s="1" t="s">
        <v>49</v>
      </c>
      <c r="E313" s="1" t="s">
        <v>33</v>
      </c>
      <c r="F313" s="1" t="s">
        <v>80</v>
      </c>
      <c r="G313" s="1" t="s">
        <v>81</v>
      </c>
      <c r="H313">
        <v>5</v>
      </c>
      <c r="I313">
        <v>1299</v>
      </c>
      <c r="J313">
        <v>6495</v>
      </c>
      <c r="K313" s="1" t="s">
        <v>23</v>
      </c>
      <c r="L313" s="1" t="s">
        <v>29</v>
      </c>
    </row>
    <row r="314" spans="1:12" x14ac:dyDescent="0.3">
      <c r="A314" s="1" t="s">
        <v>589</v>
      </c>
      <c r="B314" s="2" t="s">
        <v>229</v>
      </c>
      <c r="C314" s="2" t="str">
        <f>TEXT(Raw_Data[[#This Row],[Order_Date]],"mmmm")</f>
        <v>August</v>
      </c>
      <c r="D314" s="1" t="s">
        <v>39</v>
      </c>
      <c r="E314" s="1" t="s">
        <v>58</v>
      </c>
      <c r="F314" s="1" t="s">
        <v>15</v>
      </c>
      <c r="G314" s="1" t="s">
        <v>16</v>
      </c>
      <c r="H314">
        <v>3</v>
      </c>
      <c r="I314">
        <v>899</v>
      </c>
      <c r="J314">
        <v>2697</v>
      </c>
      <c r="K314" s="1" t="s">
        <v>17</v>
      </c>
      <c r="L314" s="1" t="s">
        <v>18</v>
      </c>
    </row>
    <row r="315" spans="1:12" x14ac:dyDescent="0.3">
      <c r="A315" s="1" t="s">
        <v>590</v>
      </c>
      <c r="B315" s="2" t="s">
        <v>591</v>
      </c>
      <c r="C315" s="2" t="str">
        <f>TEXT(Raw_Data[[#This Row],[Order_Date]],"mmmm")</f>
        <v>August</v>
      </c>
      <c r="D315" s="1" t="s">
        <v>13</v>
      </c>
      <c r="E315" s="1" t="s">
        <v>50</v>
      </c>
      <c r="F315" s="1" t="s">
        <v>63</v>
      </c>
      <c r="G315" s="1" t="s">
        <v>27</v>
      </c>
      <c r="H315">
        <v>3</v>
      </c>
      <c r="I315">
        <v>1799</v>
      </c>
      <c r="J315">
        <v>5397</v>
      </c>
      <c r="K315" s="1" t="s">
        <v>54</v>
      </c>
      <c r="L315" s="1" t="s">
        <v>29</v>
      </c>
    </row>
    <row r="316" spans="1:12" x14ac:dyDescent="0.3">
      <c r="A316" s="1" t="s">
        <v>592</v>
      </c>
      <c r="B316" s="2" t="s">
        <v>355</v>
      </c>
      <c r="C316" s="2" t="str">
        <f>TEXT(Raw_Data[[#This Row],[Order_Date]],"mmmm")</f>
        <v>December</v>
      </c>
      <c r="D316" s="1" t="s">
        <v>52</v>
      </c>
      <c r="E316" s="1" t="s">
        <v>33</v>
      </c>
      <c r="F316" s="1" t="s">
        <v>15</v>
      </c>
      <c r="G316" s="1" t="s">
        <v>16</v>
      </c>
      <c r="H316">
        <v>4</v>
      </c>
      <c r="I316">
        <v>899</v>
      </c>
      <c r="J316">
        <v>3596</v>
      </c>
      <c r="K316" s="1" t="s">
        <v>23</v>
      </c>
      <c r="L316" s="1" t="s">
        <v>18</v>
      </c>
    </row>
    <row r="317" spans="1:12" x14ac:dyDescent="0.3">
      <c r="A317" s="1" t="s">
        <v>593</v>
      </c>
      <c r="B317" s="2" t="s">
        <v>594</v>
      </c>
      <c r="C317" s="2" t="str">
        <f>TEXT(Raw_Data[[#This Row],[Order_Date]],"mmmm")</f>
        <v>January</v>
      </c>
      <c r="D317" s="1" t="s">
        <v>36</v>
      </c>
      <c r="E317" s="1" t="s">
        <v>58</v>
      </c>
      <c r="F317" s="1" t="s">
        <v>65</v>
      </c>
      <c r="G317" s="1" t="s">
        <v>16</v>
      </c>
      <c r="H317">
        <v>1</v>
      </c>
      <c r="I317">
        <v>599</v>
      </c>
      <c r="J317">
        <v>599</v>
      </c>
      <c r="K317" s="1" t="s">
        <v>17</v>
      </c>
      <c r="L317" s="1" t="s">
        <v>18</v>
      </c>
    </row>
    <row r="318" spans="1:12" x14ac:dyDescent="0.3">
      <c r="A318" s="1" t="s">
        <v>595</v>
      </c>
      <c r="B318" s="2" t="s">
        <v>187</v>
      </c>
      <c r="C318" s="2" t="str">
        <f>TEXT(Raw_Data[[#This Row],[Order_Date]],"mmmm")</f>
        <v>October</v>
      </c>
      <c r="D318" s="1" t="s">
        <v>49</v>
      </c>
      <c r="E318" s="1" t="s">
        <v>33</v>
      </c>
      <c r="F318" s="1" t="s">
        <v>21</v>
      </c>
      <c r="G318" s="1" t="s">
        <v>22</v>
      </c>
      <c r="H318">
        <v>2</v>
      </c>
      <c r="I318">
        <v>249</v>
      </c>
      <c r="J318">
        <v>498</v>
      </c>
      <c r="K318" s="1" t="s">
        <v>28</v>
      </c>
      <c r="L318" s="1" t="s">
        <v>29</v>
      </c>
    </row>
    <row r="319" spans="1:12" x14ac:dyDescent="0.3">
      <c r="A319" s="1" t="s">
        <v>596</v>
      </c>
      <c r="B319" s="2" t="s">
        <v>440</v>
      </c>
      <c r="C319" s="2" t="str">
        <f>TEXT(Raw_Data[[#This Row],[Order_Date]],"mmmm")</f>
        <v>April</v>
      </c>
      <c r="D319" s="1" t="s">
        <v>52</v>
      </c>
      <c r="E319" s="1" t="s">
        <v>56</v>
      </c>
      <c r="F319" s="1" t="s">
        <v>65</v>
      </c>
      <c r="G319" s="1" t="s">
        <v>16</v>
      </c>
      <c r="H319">
        <v>5</v>
      </c>
      <c r="I319">
        <v>599</v>
      </c>
      <c r="J319">
        <v>2995</v>
      </c>
      <c r="K319" s="1" t="s">
        <v>44</v>
      </c>
      <c r="L319" s="1" t="s">
        <v>18</v>
      </c>
    </row>
    <row r="320" spans="1:12" x14ac:dyDescent="0.3">
      <c r="A320" s="1" t="s">
        <v>597</v>
      </c>
      <c r="B320" s="2" t="s">
        <v>93</v>
      </c>
      <c r="C320" s="2" t="str">
        <f>TEXT(Raw_Data[[#This Row],[Order_Date]],"mmmm")</f>
        <v>May</v>
      </c>
      <c r="D320" s="1" t="s">
        <v>39</v>
      </c>
      <c r="E320" s="1" t="s">
        <v>58</v>
      </c>
      <c r="F320" s="1" t="s">
        <v>26</v>
      </c>
      <c r="G320" s="1" t="s">
        <v>27</v>
      </c>
      <c r="H320">
        <v>2</v>
      </c>
      <c r="I320">
        <v>2199</v>
      </c>
      <c r="J320">
        <v>4398</v>
      </c>
      <c r="K320" s="1" t="s">
        <v>28</v>
      </c>
      <c r="L320" s="1" t="s">
        <v>18</v>
      </c>
    </row>
    <row r="321" spans="1:12" x14ac:dyDescent="0.3">
      <c r="A321" s="1" t="s">
        <v>598</v>
      </c>
      <c r="B321" s="2" t="s">
        <v>599</v>
      </c>
      <c r="C321" s="2" t="str">
        <f>TEXT(Raw_Data[[#This Row],[Order_Date]],"mmmm")</f>
        <v>April</v>
      </c>
      <c r="D321" s="1" t="s">
        <v>52</v>
      </c>
      <c r="E321" s="1" t="s">
        <v>58</v>
      </c>
      <c r="F321" s="1" t="s">
        <v>34</v>
      </c>
      <c r="G321" s="1" t="s">
        <v>16</v>
      </c>
      <c r="H321">
        <v>3</v>
      </c>
      <c r="I321">
        <v>999</v>
      </c>
      <c r="J321">
        <v>2997</v>
      </c>
      <c r="K321" s="1" t="s">
        <v>54</v>
      </c>
      <c r="L321" s="1" t="s">
        <v>29</v>
      </c>
    </row>
    <row r="322" spans="1:12" x14ac:dyDescent="0.3">
      <c r="A322" s="1" t="s">
        <v>600</v>
      </c>
      <c r="B322" s="2" t="s">
        <v>565</v>
      </c>
      <c r="C322" s="2" t="str">
        <f>TEXT(Raw_Data[[#This Row],[Order_Date]],"mmmm")</f>
        <v>November</v>
      </c>
      <c r="D322" s="1" t="s">
        <v>19</v>
      </c>
      <c r="E322" s="1" t="s">
        <v>56</v>
      </c>
      <c r="F322" s="1" t="s">
        <v>21</v>
      </c>
      <c r="G322" s="1" t="s">
        <v>22</v>
      </c>
      <c r="H322">
        <v>3</v>
      </c>
      <c r="I322">
        <v>249</v>
      </c>
      <c r="J322">
        <v>747</v>
      </c>
      <c r="K322" s="1" t="s">
        <v>28</v>
      </c>
      <c r="L322" s="1" t="s">
        <v>18</v>
      </c>
    </row>
    <row r="323" spans="1:12" x14ac:dyDescent="0.3">
      <c r="A323" s="1" t="s">
        <v>601</v>
      </c>
      <c r="B323" s="2" t="s">
        <v>373</v>
      </c>
      <c r="C323" s="2" t="str">
        <f>TEXT(Raw_Data[[#This Row],[Order_Date]],"mmmm")</f>
        <v>August</v>
      </c>
      <c r="D323" s="1" t="s">
        <v>49</v>
      </c>
      <c r="E323" s="1" t="s">
        <v>37</v>
      </c>
      <c r="F323" s="1" t="s">
        <v>34</v>
      </c>
      <c r="G323" s="1" t="s">
        <v>16</v>
      </c>
      <c r="H323">
        <v>3</v>
      </c>
      <c r="I323">
        <v>999</v>
      </c>
      <c r="J323">
        <v>2997</v>
      </c>
      <c r="K323" s="1" t="s">
        <v>28</v>
      </c>
      <c r="L323" s="1" t="s">
        <v>47</v>
      </c>
    </row>
    <row r="324" spans="1:12" x14ac:dyDescent="0.3">
      <c r="A324" s="1" t="s">
        <v>602</v>
      </c>
      <c r="B324" s="2" t="s">
        <v>603</v>
      </c>
      <c r="C324" s="2" t="str">
        <f>TEXT(Raw_Data[[#This Row],[Order_Date]],"mmmm")</f>
        <v>June</v>
      </c>
      <c r="D324" s="1" t="s">
        <v>39</v>
      </c>
      <c r="E324" s="1" t="s">
        <v>14</v>
      </c>
      <c r="F324" s="1" t="s">
        <v>15</v>
      </c>
      <c r="G324" s="1" t="s">
        <v>16</v>
      </c>
      <c r="H324">
        <v>2</v>
      </c>
      <c r="I324">
        <v>899</v>
      </c>
      <c r="J324">
        <v>1798</v>
      </c>
      <c r="K324" s="1" t="s">
        <v>54</v>
      </c>
      <c r="L324" s="1" t="s">
        <v>18</v>
      </c>
    </row>
    <row r="325" spans="1:12" x14ac:dyDescent="0.3">
      <c r="A325" s="1" t="s">
        <v>604</v>
      </c>
      <c r="B325" s="2" t="s">
        <v>175</v>
      </c>
      <c r="C325" s="2" t="str">
        <f>TEXT(Raw_Data[[#This Row],[Order_Date]],"mmmm")</f>
        <v>December</v>
      </c>
      <c r="D325" s="1" t="s">
        <v>49</v>
      </c>
      <c r="E325" s="1" t="s">
        <v>56</v>
      </c>
      <c r="F325" s="1" t="s">
        <v>46</v>
      </c>
      <c r="G325" s="1" t="s">
        <v>16</v>
      </c>
      <c r="H325">
        <v>3</v>
      </c>
      <c r="I325">
        <v>1499</v>
      </c>
      <c r="J325">
        <v>4497</v>
      </c>
      <c r="K325" s="1" t="s">
        <v>44</v>
      </c>
      <c r="L325" s="1" t="s">
        <v>47</v>
      </c>
    </row>
    <row r="326" spans="1:12" x14ac:dyDescent="0.3">
      <c r="A326" s="1" t="s">
        <v>605</v>
      </c>
      <c r="B326" s="2" t="s">
        <v>425</v>
      </c>
      <c r="C326" s="2" t="str">
        <f>TEXT(Raw_Data[[#This Row],[Order_Date]],"mmmm")</f>
        <v>July</v>
      </c>
      <c r="D326" s="1" t="s">
        <v>19</v>
      </c>
      <c r="E326" s="1" t="s">
        <v>53</v>
      </c>
      <c r="F326" s="1" t="s">
        <v>46</v>
      </c>
      <c r="G326" s="1" t="s">
        <v>16</v>
      </c>
      <c r="H326">
        <v>5</v>
      </c>
      <c r="I326">
        <v>1499</v>
      </c>
      <c r="J326">
        <v>7495</v>
      </c>
      <c r="K326" s="1" t="s">
        <v>44</v>
      </c>
      <c r="L326" s="1" t="s">
        <v>47</v>
      </c>
    </row>
    <row r="327" spans="1:12" x14ac:dyDescent="0.3">
      <c r="A327" s="1" t="s">
        <v>606</v>
      </c>
      <c r="B327" s="2" t="s">
        <v>607</v>
      </c>
      <c r="C327" s="2" t="str">
        <f>TEXT(Raw_Data[[#This Row],[Order_Date]],"mmmm")</f>
        <v>March</v>
      </c>
      <c r="D327" s="1" t="s">
        <v>52</v>
      </c>
      <c r="E327" s="1" t="s">
        <v>37</v>
      </c>
      <c r="F327" s="1" t="s">
        <v>46</v>
      </c>
      <c r="G327" s="1" t="s">
        <v>16</v>
      </c>
      <c r="H327">
        <v>5</v>
      </c>
      <c r="I327">
        <v>1499</v>
      </c>
      <c r="J327">
        <v>7495</v>
      </c>
      <c r="K327" s="1" t="s">
        <v>17</v>
      </c>
      <c r="L327" s="1" t="s">
        <v>18</v>
      </c>
    </row>
    <row r="328" spans="1:12" x14ac:dyDescent="0.3">
      <c r="A328" s="1" t="s">
        <v>608</v>
      </c>
      <c r="B328" s="2" t="s">
        <v>212</v>
      </c>
      <c r="C328" s="2" t="str">
        <f>TEXT(Raw_Data[[#This Row],[Order_Date]],"mmmm")</f>
        <v>November</v>
      </c>
      <c r="D328" s="1" t="s">
        <v>25</v>
      </c>
      <c r="E328" s="1" t="s">
        <v>33</v>
      </c>
      <c r="F328" s="1" t="s">
        <v>34</v>
      </c>
      <c r="G328" s="1" t="s">
        <v>16</v>
      </c>
      <c r="H328">
        <v>4</v>
      </c>
      <c r="I328">
        <v>999</v>
      </c>
      <c r="J328">
        <v>3996</v>
      </c>
      <c r="K328" s="1" t="s">
        <v>23</v>
      </c>
      <c r="L328" s="1" t="s">
        <v>29</v>
      </c>
    </row>
    <row r="329" spans="1:12" x14ac:dyDescent="0.3">
      <c r="A329" s="1" t="s">
        <v>609</v>
      </c>
      <c r="B329" s="2" t="s">
        <v>425</v>
      </c>
      <c r="C329" s="2" t="str">
        <f>TEXT(Raw_Data[[#This Row],[Order_Date]],"mmmm")</f>
        <v>July</v>
      </c>
      <c r="D329" s="1" t="s">
        <v>52</v>
      </c>
      <c r="E329" s="1" t="s">
        <v>56</v>
      </c>
      <c r="F329" s="1" t="s">
        <v>46</v>
      </c>
      <c r="G329" s="1" t="s">
        <v>16</v>
      </c>
      <c r="H329">
        <v>2</v>
      </c>
      <c r="I329">
        <v>1499</v>
      </c>
      <c r="J329">
        <v>2998</v>
      </c>
      <c r="K329" s="1" t="s">
        <v>44</v>
      </c>
      <c r="L329" s="1" t="s">
        <v>29</v>
      </c>
    </row>
    <row r="330" spans="1:12" x14ac:dyDescent="0.3">
      <c r="A330" s="1" t="s">
        <v>610</v>
      </c>
      <c r="B330" s="2" t="s">
        <v>607</v>
      </c>
      <c r="C330" s="2" t="str">
        <f>TEXT(Raw_Data[[#This Row],[Order_Date]],"mmmm")</f>
        <v>March</v>
      </c>
      <c r="D330" s="1" t="s">
        <v>39</v>
      </c>
      <c r="E330" s="1" t="s">
        <v>20</v>
      </c>
      <c r="F330" s="1" t="s">
        <v>80</v>
      </c>
      <c r="G330" s="1" t="s">
        <v>81</v>
      </c>
      <c r="H330">
        <v>4</v>
      </c>
      <c r="I330">
        <v>1299</v>
      </c>
      <c r="J330">
        <v>5196</v>
      </c>
      <c r="K330" s="1" t="s">
        <v>17</v>
      </c>
      <c r="L330" s="1" t="s">
        <v>18</v>
      </c>
    </row>
    <row r="331" spans="1:12" x14ac:dyDescent="0.3">
      <c r="A331" s="1" t="s">
        <v>611</v>
      </c>
      <c r="B331" s="2" t="s">
        <v>72</v>
      </c>
      <c r="C331" s="2" t="str">
        <f>TEXT(Raw_Data[[#This Row],[Order_Date]],"mmmm")</f>
        <v>April</v>
      </c>
      <c r="D331" s="1" t="s">
        <v>31</v>
      </c>
      <c r="E331" s="1" t="s">
        <v>53</v>
      </c>
      <c r="F331" s="1" t="s">
        <v>65</v>
      </c>
      <c r="G331" s="1" t="s">
        <v>16</v>
      </c>
      <c r="H331">
        <v>3</v>
      </c>
      <c r="I331">
        <v>599</v>
      </c>
      <c r="J331">
        <v>1797</v>
      </c>
      <c r="K331" s="1" t="s">
        <v>44</v>
      </c>
      <c r="L331" s="1" t="s">
        <v>47</v>
      </c>
    </row>
    <row r="332" spans="1:12" x14ac:dyDescent="0.3">
      <c r="A332" s="1" t="s">
        <v>612</v>
      </c>
      <c r="B332" s="2" t="s">
        <v>95</v>
      </c>
      <c r="C332" s="2" t="str">
        <f>TEXT(Raw_Data[[#This Row],[Order_Date]],"mmmm")</f>
        <v>September</v>
      </c>
      <c r="D332" s="1" t="s">
        <v>39</v>
      </c>
      <c r="E332" s="1" t="s">
        <v>58</v>
      </c>
      <c r="F332" s="1" t="s">
        <v>80</v>
      </c>
      <c r="G332" s="1" t="s">
        <v>81</v>
      </c>
      <c r="H332">
        <v>5</v>
      </c>
      <c r="I332">
        <v>1299</v>
      </c>
      <c r="J332">
        <v>6495</v>
      </c>
      <c r="K332" s="1" t="s">
        <v>54</v>
      </c>
      <c r="L332" s="1" t="s">
        <v>47</v>
      </c>
    </row>
    <row r="333" spans="1:12" x14ac:dyDescent="0.3">
      <c r="A333" s="1" t="s">
        <v>613</v>
      </c>
      <c r="B333" s="2" t="s">
        <v>614</v>
      </c>
      <c r="C333" s="2" t="str">
        <f>TEXT(Raw_Data[[#This Row],[Order_Date]],"mmmm")</f>
        <v>January</v>
      </c>
      <c r="D333" s="1" t="s">
        <v>52</v>
      </c>
      <c r="E333" s="1" t="s">
        <v>14</v>
      </c>
      <c r="F333" s="1" t="s">
        <v>34</v>
      </c>
      <c r="G333" s="1" t="s">
        <v>16</v>
      </c>
      <c r="H333">
        <v>5</v>
      </c>
      <c r="I333">
        <v>999</v>
      </c>
      <c r="J333">
        <v>4995</v>
      </c>
      <c r="K333" s="1" t="s">
        <v>44</v>
      </c>
      <c r="L333" s="1" t="s">
        <v>18</v>
      </c>
    </row>
    <row r="334" spans="1:12" x14ac:dyDescent="0.3">
      <c r="A334" s="1" t="s">
        <v>615</v>
      </c>
      <c r="B334" s="2" t="s">
        <v>73</v>
      </c>
      <c r="C334" s="2" t="str">
        <f>TEXT(Raw_Data[[#This Row],[Order_Date]],"mmmm")</f>
        <v>January</v>
      </c>
      <c r="D334" s="1" t="s">
        <v>52</v>
      </c>
      <c r="E334" s="1" t="s">
        <v>37</v>
      </c>
      <c r="F334" s="1" t="s">
        <v>26</v>
      </c>
      <c r="G334" s="1" t="s">
        <v>27</v>
      </c>
      <c r="H334">
        <v>3</v>
      </c>
      <c r="I334">
        <v>2199</v>
      </c>
      <c r="J334">
        <v>6597</v>
      </c>
      <c r="K334" s="1" t="s">
        <v>54</v>
      </c>
      <c r="L334" s="1" t="s">
        <v>18</v>
      </c>
    </row>
    <row r="335" spans="1:12" x14ac:dyDescent="0.3">
      <c r="A335" s="1" t="s">
        <v>616</v>
      </c>
      <c r="B335" s="2" t="s">
        <v>617</v>
      </c>
      <c r="C335" s="2" t="str">
        <f>TEXT(Raw_Data[[#This Row],[Order_Date]],"mmmm")</f>
        <v>May</v>
      </c>
      <c r="D335" s="1" t="s">
        <v>13</v>
      </c>
      <c r="E335" s="1" t="s">
        <v>33</v>
      </c>
      <c r="F335" s="1" t="s">
        <v>80</v>
      </c>
      <c r="G335" s="1" t="s">
        <v>81</v>
      </c>
      <c r="H335">
        <v>1</v>
      </c>
      <c r="I335">
        <v>1299</v>
      </c>
      <c r="J335">
        <v>1299</v>
      </c>
      <c r="K335" s="1" t="s">
        <v>28</v>
      </c>
      <c r="L335" s="1" t="s">
        <v>29</v>
      </c>
    </row>
    <row r="336" spans="1:12" x14ac:dyDescent="0.3">
      <c r="A336" s="1" t="s">
        <v>618</v>
      </c>
      <c r="B336" s="2" t="s">
        <v>242</v>
      </c>
      <c r="C336" s="2" t="str">
        <f>TEXT(Raw_Data[[#This Row],[Order_Date]],"mmmm")</f>
        <v>March</v>
      </c>
      <c r="D336" s="1" t="s">
        <v>13</v>
      </c>
      <c r="E336" s="1" t="s">
        <v>14</v>
      </c>
      <c r="F336" s="1" t="s">
        <v>46</v>
      </c>
      <c r="G336" s="1" t="s">
        <v>16</v>
      </c>
      <c r="H336">
        <v>5</v>
      </c>
      <c r="I336">
        <v>1499</v>
      </c>
      <c r="J336">
        <v>7495</v>
      </c>
      <c r="K336" s="1" t="s">
        <v>23</v>
      </c>
      <c r="L336" s="1" t="s">
        <v>47</v>
      </c>
    </row>
    <row r="337" spans="1:12" x14ac:dyDescent="0.3">
      <c r="A337" s="1" t="s">
        <v>619</v>
      </c>
      <c r="B337" s="2" t="s">
        <v>247</v>
      </c>
      <c r="C337" s="2" t="str">
        <f>TEXT(Raw_Data[[#This Row],[Order_Date]],"mmmm")</f>
        <v>May</v>
      </c>
      <c r="D337" s="1" t="s">
        <v>49</v>
      </c>
      <c r="E337" s="1" t="s">
        <v>33</v>
      </c>
      <c r="F337" s="1" t="s">
        <v>34</v>
      </c>
      <c r="G337" s="1" t="s">
        <v>16</v>
      </c>
      <c r="H337">
        <v>5</v>
      </c>
      <c r="I337">
        <v>999</v>
      </c>
      <c r="J337">
        <v>4995</v>
      </c>
      <c r="K337" s="1" t="s">
        <v>54</v>
      </c>
      <c r="L337" s="1" t="s">
        <v>18</v>
      </c>
    </row>
    <row r="338" spans="1:12" x14ac:dyDescent="0.3">
      <c r="A338" s="1" t="s">
        <v>620</v>
      </c>
      <c r="B338" s="2" t="s">
        <v>621</v>
      </c>
      <c r="C338" s="2" t="str">
        <f>TEXT(Raw_Data[[#This Row],[Order_Date]],"mmmm")</f>
        <v>September</v>
      </c>
      <c r="D338" s="1" t="s">
        <v>39</v>
      </c>
      <c r="E338" s="1" t="s">
        <v>53</v>
      </c>
      <c r="F338" s="1" t="s">
        <v>41</v>
      </c>
      <c r="G338" s="1" t="s">
        <v>42</v>
      </c>
      <c r="H338">
        <v>3</v>
      </c>
      <c r="I338">
        <v>7499</v>
      </c>
      <c r="J338">
        <v>22497</v>
      </c>
      <c r="K338" s="1" t="s">
        <v>44</v>
      </c>
      <c r="L338" s="1" t="s">
        <v>18</v>
      </c>
    </row>
    <row r="339" spans="1:12" x14ac:dyDescent="0.3">
      <c r="A339" s="1" t="s">
        <v>622</v>
      </c>
      <c r="B339" s="2" t="s">
        <v>133</v>
      </c>
      <c r="C339" s="2" t="str">
        <f>TEXT(Raw_Data[[#This Row],[Order_Date]],"mmmm")</f>
        <v>December</v>
      </c>
      <c r="D339" s="1" t="s">
        <v>49</v>
      </c>
      <c r="E339" s="1" t="s">
        <v>14</v>
      </c>
      <c r="F339" s="1" t="s">
        <v>63</v>
      </c>
      <c r="G339" s="1" t="s">
        <v>27</v>
      </c>
      <c r="H339">
        <v>2</v>
      </c>
      <c r="I339">
        <v>1799</v>
      </c>
      <c r="J339">
        <v>3598</v>
      </c>
      <c r="K339" s="1" t="s">
        <v>17</v>
      </c>
      <c r="L339" s="1" t="s">
        <v>18</v>
      </c>
    </row>
    <row r="340" spans="1:12" x14ac:dyDescent="0.3">
      <c r="A340" s="1" t="s">
        <v>623</v>
      </c>
      <c r="B340" s="2" t="s">
        <v>124</v>
      </c>
      <c r="C340" s="2" t="str">
        <f>TEXT(Raw_Data[[#This Row],[Order_Date]],"mmmm")</f>
        <v>September</v>
      </c>
      <c r="D340" s="1" t="s">
        <v>49</v>
      </c>
      <c r="E340" s="1" t="s">
        <v>37</v>
      </c>
      <c r="F340" s="1" t="s">
        <v>26</v>
      </c>
      <c r="G340" s="1" t="s">
        <v>27</v>
      </c>
      <c r="H340">
        <v>4</v>
      </c>
      <c r="I340">
        <v>2199</v>
      </c>
      <c r="J340">
        <v>8796</v>
      </c>
      <c r="K340" s="1" t="s">
        <v>44</v>
      </c>
      <c r="L340" s="1" t="s">
        <v>29</v>
      </c>
    </row>
    <row r="341" spans="1:12" x14ac:dyDescent="0.3">
      <c r="A341" s="1" t="s">
        <v>624</v>
      </c>
      <c r="B341" s="2" t="s">
        <v>625</v>
      </c>
      <c r="C341" s="2" t="str">
        <f>TEXT(Raw_Data[[#This Row],[Order_Date]],"mmmm")</f>
        <v>November</v>
      </c>
      <c r="D341" s="1" t="s">
        <v>39</v>
      </c>
      <c r="E341" s="1" t="s">
        <v>56</v>
      </c>
      <c r="F341" s="1" t="s">
        <v>80</v>
      </c>
      <c r="G341" s="1" t="s">
        <v>81</v>
      </c>
      <c r="H341">
        <v>1</v>
      </c>
      <c r="I341">
        <v>1299</v>
      </c>
      <c r="J341">
        <v>1299</v>
      </c>
      <c r="K341" s="1" t="s">
        <v>28</v>
      </c>
      <c r="L341" s="1" t="s">
        <v>18</v>
      </c>
    </row>
    <row r="342" spans="1:12" x14ac:dyDescent="0.3">
      <c r="A342" s="1" t="s">
        <v>626</v>
      </c>
      <c r="B342" s="2" t="s">
        <v>131</v>
      </c>
      <c r="C342" s="2" t="str">
        <f>TEXT(Raw_Data[[#This Row],[Order_Date]],"mmmm")</f>
        <v>September</v>
      </c>
      <c r="D342" s="1" t="s">
        <v>36</v>
      </c>
      <c r="E342" s="1" t="s">
        <v>20</v>
      </c>
      <c r="F342" s="1" t="s">
        <v>34</v>
      </c>
      <c r="G342" s="1" t="s">
        <v>16</v>
      </c>
      <c r="H342">
        <v>4</v>
      </c>
      <c r="I342">
        <v>999</v>
      </c>
      <c r="J342">
        <v>3996</v>
      </c>
      <c r="K342" s="1" t="s">
        <v>23</v>
      </c>
      <c r="L342" s="1" t="s">
        <v>29</v>
      </c>
    </row>
    <row r="343" spans="1:12" x14ac:dyDescent="0.3">
      <c r="A343" s="1" t="s">
        <v>627</v>
      </c>
      <c r="B343" s="2" t="s">
        <v>628</v>
      </c>
      <c r="C343" s="2" t="str">
        <f>TEXT(Raw_Data[[#This Row],[Order_Date]],"mmmm")</f>
        <v>October</v>
      </c>
      <c r="D343" s="1" t="s">
        <v>19</v>
      </c>
      <c r="E343" s="1" t="s">
        <v>14</v>
      </c>
      <c r="F343" s="1" t="s">
        <v>34</v>
      </c>
      <c r="G343" s="1" t="s">
        <v>16</v>
      </c>
      <c r="H343">
        <v>1</v>
      </c>
      <c r="I343">
        <v>999</v>
      </c>
      <c r="J343">
        <v>999</v>
      </c>
      <c r="K343" s="1" t="s">
        <v>44</v>
      </c>
      <c r="L343" s="1" t="s">
        <v>18</v>
      </c>
    </row>
    <row r="344" spans="1:12" x14ac:dyDescent="0.3">
      <c r="A344" s="1" t="s">
        <v>629</v>
      </c>
      <c r="B344" s="2" t="s">
        <v>67</v>
      </c>
      <c r="C344" s="2" t="str">
        <f>TEXT(Raw_Data[[#This Row],[Order_Date]],"mmmm")</f>
        <v>June</v>
      </c>
      <c r="D344" s="1" t="s">
        <v>31</v>
      </c>
      <c r="E344" s="1" t="s">
        <v>33</v>
      </c>
      <c r="F344" s="1" t="s">
        <v>80</v>
      </c>
      <c r="G344" s="1" t="s">
        <v>81</v>
      </c>
      <c r="H344">
        <v>3</v>
      </c>
      <c r="I344">
        <v>1299</v>
      </c>
      <c r="J344">
        <v>3897</v>
      </c>
      <c r="K344" s="1" t="s">
        <v>28</v>
      </c>
      <c r="L344" s="1" t="s">
        <v>47</v>
      </c>
    </row>
    <row r="345" spans="1:12" x14ac:dyDescent="0.3">
      <c r="A345" s="1" t="s">
        <v>630</v>
      </c>
      <c r="B345" s="2" t="s">
        <v>107</v>
      </c>
      <c r="C345" s="2" t="str">
        <f>TEXT(Raw_Data[[#This Row],[Order_Date]],"mmmm")</f>
        <v>September</v>
      </c>
      <c r="D345" s="1" t="s">
        <v>36</v>
      </c>
      <c r="E345" s="1" t="s">
        <v>20</v>
      </c>
      <c r="F345" s="1" t="s">
        <v>46</v>
      </c>
      <c r="G345" s="1" t="s">
        <v>16</v>
      </c>
      <c r="H345">
        <v>5</v>
      </c>
      <c r="I345">
        <v>1499</v>
      </c>
      <c r="J345">
        <v>7495</v>
      </c>
      <c r="K345" s="1" t="s">
        <v>23</v>
      </c>
      <c r="L345" s="1" t="s">
        <v>18</v>
      </c>
    </row>
    <row r="346" spans="1:12" x14ac:dyDescent="0.3">
      <c r="A346" s="1" t="s">
        <v>631</v>
      </c>
      <c r="B346" s="2" t="s">
        <v>378</v>
      </c>
      <c r="C346" s="2" t="str">
        <f>TEXT(Raw_Data[[#This Row],[Order_Date]],"mmmm")</f>
        <v>March</v>
      </c>
      <c r="D346" s="1" t="s">
        <v>49</v>
      </c>
      <c r="E346" s="1" t="s">
        <v>50</v>
      </c>
      <c r="F346" s="1" t="s">
        <v>80</v>
      </c>
      <c r="G346" s="1"/>
      <c r="H346">
        <v>1</v>
      </c>
      <c r="I346">
        <v>1299</v>
      </c>
      <c r="J346">
        <v>1299</v>
      </c>
      <c r="K346" s="1" t="s">
        <v>44</v>
      </c>
      <c r="L346" s="1" t="s">
        <v>18</v>
      </c>
    </row>
    <row r="347" spans="1:12" x14ac:dyDescent="0.3">
      <c r="A347" s="1" t="s">
        <v>632</v>
      </c>
      <c r="B347" s="2" t="s">
        <v>587</v>
      </c>
      <c r="C347" s="2" t="str">
        <f>TEXT(Raw_Data[[#This Row],[Order_Date]],"mmmm")</f>
        <v>December</v>
      </c>
      <c r="D347" s="1" t="s">
        <v>49</v>
      </c>
      <c r="E347" s="1" t="s">
        <v>37</v>
      </c>
      <c r="F347" s="1" t="s">
        <v>38</v>
      </c>
      <c r="G347" s="1" t="s">
        <v>27</v>
      </c>
      <c r="H347">
        <v>2</v>
      </c>
      <c r="I347">
        <v>12499</v>
      </c>
      <c r="J347">
        <v>24998</v>
      </c>
      <c r="K347" s="1" t="s">
        <v>17</v>
      </c>
      <c r="L347" s="1" t="s">
        <v>18</v>
      </c>
    </row>
    <row r="348" spans="1:12" x14ac:dyDescent="0.3">
      <c r="A348" s="1" t="s">
        <v>633</v>
      </c>
      <c r="B348" s="2" t="s">
        <v>86</v>
      </c>
      <c r="C348" s="2" t="str">
        <f>TEXT(Raw_Data[[#This Row],[Order_Date]],"mmmm")</f>
        <v>May</v>
      </c>
      <c r="D348" s="1" t="s">
        <v>39</v>
      </c>
      <c r="E348" s="1" t="s">
        <v>33</v>
      </c>
      <c r="F348" s="1" t="s">
        <v>15</v>
      </c>
      <c r="G348" s="1" t="s">
        <v>16</v>
      </c>
      <c r="H348">
        <v>3</v>
      </c>
      <c r="I348">
        <v>899</v>
      </c>
      <c r="J348">
        <v>2697</v>
      </c>
      <c r="K348" s="1" t="s">
        <v>17</v>
      </c>
      <c r="L348" s="1" t="s">
        <v>18</v>
      </c>
    </row>
    <row r="349" spans="1:12" x14ac:dyDescent="0.3">
      <c r="A349" s="1" t="s">
        <v>634</v>
      </c>
      <c r="B349" s="2" t="s">
        <v>635</v>
      </c>
      <c r="C349" s="2" t="str">
        <f>TEXT(Raw_Data[[#This Row],[Order_Date]],"mmmm")</f>
        <v>December</v>
      </c>
      <c r="D349" s="1" t="s">
        <v>13</v>
      </c>
      <c r="E349" s="1" t="s">
        <v>56</v>
      </c>
      <c r="F349" s="1" t="s">
        <v>38</v>
      </c>
      <c r="G349" s="1" t="s">
        <v>27</v>
      </c>
      <c r="H349">
        <v>3</v>
      </c>
      <c r="I349">
        <v>12499</v>
      </c>
      <c r="J349">
        <v>37497</v>
      </c>
      <c r="K349" s="1" t="s">
        <v>23</v>
      </c>
      <c r="L349" s="1" t="s">
        <v>18</v>
      </c>
    </row>
    <row r="350" spans="1:12" x14ac:dyDescent="0.3">
      <c r="A350" s="1" t="s">
        <v>636</v>
      </c>
      <c r="B350" s="2" t="s">
        <v>637</v>
      </c>
      <c r="C350" s="2" t="str">
        <f>TEXT(Raw_Data[[#This Row],[Order_Date]],"mmmm")</f>
        <v>September</v>
      </c>
      <c r="D350" s="1" t="s">
        <v>39</v>
      </c>
      <c r="E350" s="1" t="s">
        <v>53</v>
      </c>
      <c r="F350" s="1" t="s">
        <v>65</v>
      </c>
      <c r="G350" s="1" t="s">
        <v>16</v>
      </c>
      <c r="H350">
        <v>2</v>
      </c>
      <c r="I350">
        <v>599</v>
      </c>
      <c r="J350">
        <v>1198</v>
      </c>
      <c r="K350" s="1" t="s">
        <v>28</v>
      </c>
      <c r="L350" s="1" t="s">
        <v>18</v>
      </c>
    </row>
    <row r="351" spans="1:12" x14ac:dyDescent="0.3">
      <c r="A351" s="1" t="s">
        <v>638</v>
      </c>
      <c r="B351" s="2" t="s">
        <v>639</v>
      </c>
      <c r="C351" s="2" t="str">
        <f>TEXT(Raw_Data[[#This Row],[Order_Date]],"mmmm")</f>
        <v>January</v>
      </c>
      <c r="D351" s="1" t="s">
        <v>25</v>
      </c>
      <c r="E351" s="1" t="s">
        <v>33</v>
      </c>
      <c r="F351" s="1" t="s">
        <v>21</v>
      </c>
      <c r="G351" s="1" t="s">
        <v>22</v>
      </c>
      <c r="H351">
        <v>4</v>
      </c>
      <c r="I351">
        <v>249</v>
      </c>
      <c r="J351">
        <v>996</v>
      </c>
      <c r="K351" s="1" t="s">
        <v>23</v>
      </c>
      <c r="L351" s="1" t="s">
        <v>29</v>
      </c>
    </row>
    <row r="352" spans="1:12" x14ac:dyDescent="0.3">
      <c r="A352" s="1" t="s">
        <v>640</v>
      </c>
      <c r="B352" s="2" t="s">
        <v>641</v>
      </c>
      <c r="C352" s="2" t="str">
        <f>TEXT(Raw_Data[[#This Row],[Order_Date]],"mmmm")</f>
        <v>February</v>
      </c>
      <c r="D352" s="1" t="s">
        <v>13</v>
      </c>
      <c r="E352" s="1" t="s">
        <v>56</v>
      </c>
      <c r="F352" s="1" t="s">
        <v>46</v>
      </c>
      <c r="G352" s="1" t="s">
        <v>16</v>
      </c>
      <c r="H352">
        <v>4</v>
      </c>
      <c r="I352">
        <v>1499</v>
      </c>
      <c r="J352">
        <v>5996</v>
      </c>
      <c r="K352" s="1" t="s">
        <v>23</v>
      </c>
      <c r="L352" s="1" t="s">
        <v>18</v>
      </c>
    </row>
    <row r="353" spans="1:12" x14ac:dyDescent="0.3">
      <c r="A353" s="1" t="s">
        <v>642</v>
      </c>
      <c r="B353" s="2" t="s">
        <v>137</v>
      </c>
      <c r="C353" s="2" t="str">
        <f>TEXT(Raw_Data[[#This Row],[Order_Date]],"mmmm")</f>
        <v>July</v>
      </c>
      <c r="D353" s="1" t="s">
        <v>31</v>
      </c>
      <c r="E353" s="1" t="s">
        <v>53</v>
      </c>
      <c r="F353" s="1" t="s">
        <v>15</v>
      </c>
      <c r="G353" s="1" t="s">
        <v>16</v>
      </c>
      <c r="H353">
        <v>3</v>
      </c>
      <c r="I353">
        <v>899</v>
      </c>
      <c r="J353">
        <v>2697</v>
      </c>
      <c r="K353" s="1" t="s">
        <v>44</v>
      </c>
      <c r="L353" s="1" t="s">
        <v>18</v>
      </c>
    </row>
    <row r="354" spans="1:12" x14ac:dyDescent="0.3">
      <c r="A354" s="1" t="s">
        <v>643</v>
      </c>
      <c r="B354" s="2" t="s">
        <v>79</v>
      </c>
      <c r="C354" s="2" t="str">
        <f>TEXT(Raw_Data[[#This Row],[Order_Date]],"mmmm")</f>
        <v>September</v>
      </c>
      <c r="D354" s="1" t="s">
        <v>25</v>
      </c>
      <c r="E354" s="1" t="s">
        <v>53</v>
      </c>
      <c r="F354" s="1" t="s">
        <v>46</v>
      </c>
      <c r="G354" s="1" t="s">
        <v>16</v>
      </c>
      <c r="H354">
        <v>1</v>
      </c>
      <c r="I354">
        <v>1499</v>
      </c>
      <c r="J354">
        <v>1499</v>
      </c>
      <c r="K354" s="1" t="s">
        <v>44</v>
      </c>
      <c r="L354" s="1" t="s">
        <v>18</v>
      </c>
    </row>
    <row r="355" spans="1:12" x14ac:dyDescent="0.3">
      <c r="A355" s="1" t="s">
        <v>644</v>
      </c>
      <c r="B355" s="2" t="s">
        <v>338</v>
      </c>
      <c r="C355" s="2" t="str">
        <f>TEXT(Raw_Data[[#This Row],[Order_Date]],"mmmm")</f>
        <v>July</v>
      </c>
      <c r="D355" s="1" t="s">
        <v>52</v>
      </c>
      <c r="E355" s="1" t="s">
        <v>14</v>
      </c>
      <c r="F355" s="1" t="s">
        <v>26</v>
      </c>
      <c r="G355" s="1" t="s">
        <v>27</v>
      </c>
      <c r="H355">
        <v>2</v>
      </c>
      <c r="I355">
        <v>2199</v>
      </c>
      <c r="J355">
        <v>4398</v>
      </c>
      <c r="K355" s="1" t="s">
        <v>23</v>
      </c>
      <c r="L355" s="1" t="s">
        <v>18</v>
      </c>
    </row>
    <row r="356" spans="1:12" x14ac:dyDescent="0.3">
      <c r="A356" s="1" t="s">
        <v>645</v>
      </c>
      <c r="B356" s="2" t="s">
        <v>30</v>
      </c>
      <c r="C356" s="2" t="str">
        <f>TEXT(Raw_Data[[#This Row],[Order_Date]],"mmmm")</f>
        <v>October</v>
      </c>
      <c r="D356" s="1" t="s">
        <v>19</v>
      </c>
      <c r="E356" s="1" t="s">
        <v>33</v>
      </c>
      <c r="F356" s="1" t="s">
        <v>46</v>
      </c>
      <c r="G356" s="1" t="s">
        <v>16</v>
      </c>
      <c r="H356">
        <v>1</v>
      </c>
      <c r="I356">
        <v>1499</v>
      </c>
      <c r="J356">
        <v>1499</v>
      </c>
      <c r="K356" s="1" t="s">
        <v>44</v>
      </c>
      <c r="L356" s="1" t="s">
        <v>18</v>
      </c>
    </row>
    <row r="357" spans="1:12" x14ac:dyDescent="0.3">
      <c r="A357" s="1" t="s">
        <v>646</v>
      </c>
      <c r="B357" s="2" t="s">
        <v>251</v>
      </c>
      <c r="C357" s="2" t="str">
        <f>TEXT(Raw_Data[[#This Row],[Order_Date]],"mmmm")</f>
        <v>May</v>
      </c>
      <c r="D357" s="1" t="s">
        <v>39</v>
      </c>
      <c r="E357" s="1" t="s">
        <v>14</v>
      </c>
      <c r="F357" s="1" t="s">
        <v>46</v>
      </c>
      <c r="G357" s="1" t="s">
        <v>16</v>
      </c>
      <c r="H357">
        <v>2</v>
      </c>
      <c r="I357">
        <v>1499</v>
      </c>
      <c r="J357">
        <v>2998</v>
      </c>
      <c r="K357" s="1" t="s">
        <v>28</v>
      </c>
      <c r="L357" s="1" t="s">
        <v>47</v>
      </c>
    </row>
    <row r="358" spans="1:12" x14ac:dyDescent="0.3">
      <c r="A358" s="1" t="s">
        <v>647</v>
      </c>
      <c r="B358" s="2" t="s">
        <v>648</v>
      </c>
      <c r="C358" s="2" t="str">
        <f>TEXT(Raw_Data[[#This Row],[Order_Date]],"mmmm")</f>
        <v>May</v>
      </c>
      <c r="D358" s="1" t="s">
        <v>25</v>
      </c>
      <c r="E358" s="1" t="s">
        <v>37</v>
      </c>
      <c r="F358" s="1" t="s">
        <v>41</v>
      </c>
      <c r="G358" s="1" t="s">
        <v>42</v>
      </c>
      <c r="H358">
        <v>5</v>
      </c>
      <c r="I358">
        <v>7499</v>
      </c>
      <c r="J358">
        <v>37495</v>
      </c>
      <c r="K358" s="1" t="s">
        <v>17</v>
      </c>
      <c r="L358" s="1" t="s">
        <v>47</v>
      </c>
    </row>
    <row r="359" spans="1:12" x14ac:dyDescent="0.3">
      <c r="A359" s="1" t="s">
        <v>649</v>
      </c>
      <c r="B359" s="2" t="s">
        <v>650</v>
      </c>
      <c r="C359" s="2" t="str">
        <f>TEXT(Raw_Data[[#This Row],[Order_Date]],"mmmm")</f>
        <v>April</v>
      </c>
      <c r="D359" s="1" t="s">
        <v>19</v>
      </c>
      <c r="E359" s="1" t="s">
        <v>37</v>
      </c>
      <c r="F359" s="1" t="s">
        <v>41</v>
      </c>
      <c r="G359" s="1" t="s">
        <v>42</v>
      </c>
      <c r="H359">
        <v>5</v>
      </c>
      <c r="I359">
        <v>7499</v>
      </c>
      <c r="J359">
        <v>37495</v>
      </c>
      <c r="K359" s="1" t="s">
        <v>23</v>
      </c>
      <c r="L359" s="1" t="s">
        <v>18</v>
      </c>
    </row>
    <row r="360" spans="1:12" x14ac:dyDescent="0.3">
      <c r="A360" s="1" t="s">
        <v>651</v>
      </c>
      <c r="B360" s="2" t="s">
        <v>62</v>
      </c>
      <c r="C360" s="2" t="str">
        <f>TEXT(Raw_Data[[#This Row],[Order_Date]],"mmmm")</f>
        <v>February</v>
      </c>
      <c r="D360" s="1" t="s">
        <v>13</v>
      </c>
      <c r="E360" s="1" t="s">
        <v>50</v>
      </c>
      <c r="F360" s="1" t="s">
        <v>80</v>
      </c>
      <c r="G360" s="1" t="s">
        <v>81</v>
      </c>
      <c r="H360">
        <v>4</v>
      </c>
      <c r="I360">
        <v>1299</v>
      </c>
      <c r="J360">
        <v>5196</v>
      </c>
      <c r="K360" s="1" t="s">
        <v>28</v>
      </c>
      <c r="L360" s="1" t="s">
        <v>18</v>
      </c>
    </row>
    <row r="361" spans="1:12" x14ac:dyDescent="0.3">
      <c r="A361" s="1" t="s">
        <v>652</v>
      </c>
      <c r="B361" s="2" t="s">
        <v>143</v>
      </c>
      <c r="C361" s="2" t="str">
        <f>TEXT(Raw_Data[[#This Row],[Order_Date]],"mmmm")</f>
        <v>July</v>
      </c>
      <c r="D361" s="1" t="s">
        <v>36</v>
      </c>
      <c r="E361" s="1" t="s">
        <v>653</v>
      </c>
      <c r="F361" s="1" t="s">
        <v>21</v>
      </c>
      <c r="G361" s="1" t="s">
        <v>22</v>
      </c>
      <c r="H361">
        <v>1</v>
      </c>
      <c r="I361">
        <v>249</v>
      </c>
      <c r="J361">
        <v>249</v>
      </c>
      <c r="K361" s="1" t="s">
        <v>44</v>
      </c>
      <c r="L361" s="1" t="s">
        <v>47</v>
      </c>
    </row>
    <row r="362" spans="1:12" x14ac:dyDescent="0.3">
      <c r="A362" s="1" t="s">
        <v>654</v>
      </c>
      <c r="B362" s="2" t="s">
        <v>531</v>
      </c>
      <c r="C362" s="2" t="str">
        <f>TEXT(Raw_Data[[#This Row],[Order_Date]],"mmmm")</f>
        <v>October</v>
      </c>
      <c r="D362" s="1" t="s">
        <v>49</v>
      </c>
      <c r="E362" s="1" t="s">
        <v>50</v>
      </c>
      <c r="F362" s="1" t="s">
        <v>38</v>
      </c>
      <c r="G362" s="1" t="s">
        <v>27</v>
      </c>
      <c r="H362">
        <v>3</v>
      </c>
      <c r="I362">
        <v>12499</v>
      </c>
      <c r="J362">
        <v>37497</v>
      </c>
      <c r="K362" s="1" t="s">
        <v>23</v>
      </c>
      <c r="L362" s="1" t="s">
        <v>18</v>
      </c>
    </row>
    <row r="363" spans="1:12" x14ac:dyDescent="0.3">
      <c r="A363" s="1" t="s">
        <v>655</v>
      </c>
      <c r="B363" s="2" t="s">
        <v>200</v>
      </c>
      <c r="C363" s="2" t="str">
        <f>TEXT(Raw_Data[[#This Row],[Order_Date]],"mmmm")</f>
        <v>January</v>
      </c>
      <c r="D363" s="1" t="s">
        <v>31</v>
      </c>
      <c r="E363" s="1" t="s">
        <v>14</v>
      </c>
      <c r="F363" s="1" t="s">
        <v>41</v>
      </c>
      <c r="G363" s="1" t="s">
        <v>42</v>
      </c>
      <c r="H363">
        <v>1</v>
      </c>
      <c r="I363">
        <v>7499</v>
      </c>
      <c r="J363">
        <v>7499</v>
      </c>
      <c r="K363" s="1" t="s">
        <v>23</v>
      </c>
      <c r="L363" s="1" t="s">
        <v>18</v>
      </c>
    </row>
    <row r="364" spans="1:12" x14ac:dyDescent="0.3">
      <c r="A364" s="1" t="s">
        <v>656</v>
      </c>
      <c r="B364" s="2" t="s">
        <v>319</v>
      </c>
      <c r="C364" s="2" t="str">
        <f>TEXT(Raw_Data[[#This Row],[Order_Date]],"mmmm")</f>
        <v>May</v>
      </c>
      <c r="D364" s="1" t="s">
        <v>19</v>
      </c>
      <c r="E364" s="1" t="s">
        <v>56</v>
      </c>
      <c r="F364" s="1" t="s">
        <v>38</v>
      </c>
      <c r="G364" s="1" t="s">
        <v>27</v>
      </c>
      <c r="H364">
        <v>5</v>
      </c>
      <c r="I364">
        <v>12499</v>
      </c>
      <c r="J364">
        <v>62495</v>
      </c>
      <c r="K364" s="1" t="s">
        <v>44</v>
      </c>
      <c r="L364" s="1" t="s">
        <v>18</v>
      </c>
    </row>
    <row r="365" spans="1:12" x14ac:dyDescent="0.3">
      <c r="A365" s="1" t="s">
        <v>657</v>
      </c>
      <c r="B365" s="2" t="s">
        <v>658</v>
      </c>
      <c r="C365" s="2" t="str">
        <f>TEXT(Raw_Data[[#This Row],[Order_Date]],"mmmm")</f>
        <v>November</v>
      </c>
      <c r="D365" s="1" t="s">
        <v>49</v>
      </c>
      <c r="E365" s="1" t="s">
        <v>37</v>
      </c>
      <c r="F365" s="1" t="s">
        <v>21</v>
      </c>
      <c r="G365" s="1" t="s">
        <v>22</v>
      </c>
      <c r="H365">
        <v>5</v>
      </c>
      <c r="I365">
        <v>249</v>
      </c>
      <c r="J365">
        <v>1245</v>
      </c>
      <c r="K365" s="1" t="s">
        <v>23</v>
      </c>
      <c r="L365" s="1" t="s">
        <v>18</v>
      </c>
    </row>
    <row r="366" spans="1:12" x14ac:dyDescent="0.3">
      <c r="A366" s="1" t="s">
        <v>659</v>
      </c>
      <c r="B366" s="2" t="s">
        <v>420</v>
      </c>
      <c r="C366" s="2" t="str">
        <f>TEXT(Raw_Data[[#This Row],[Order_Date]],"mmmm")</f>
        <v>April</v>
      </c>
      <c r="D366" s="1" t="s">
        <v>49</v>
      </c>
      <c r="E366" s="1" t="s">
        <v>33</v>
      </c>
      <c r="F366" s="1" t="s">
        <v>15</v>
      </c>
      <c r="G366" s="1" t="s">
        <v>16</v>
      </c>
      <c r="H366">
        <v>5</v>
      </c>
      <c r="I366">
        <v>899</v>
      </c>
      <c r="J366">
        <v>4495</v>
      </c>
      <c r="K366" s="1" t="s">
        <v>44</v>
      </c>
      <c r="L366" s="1" t="s">
        <v>47</v>
      </c>
    </row>
    <row r="367" spans="1:12" x14ac:dyDescent="0.3">
      <c r="A367" s="1" t="s">
        <v>660</v>
      </c>
      <c r="B367" s="2" t="s">
        <v>661</v>
      </c>
      <c r="C367" s="2" t="str">
        <f>TEXT(Raw_Data[[#This Row],[Order_Date]],"mmmm")</f>
        <v>December</v>
      </c>
      <c r="D367" s="1" t="s">
        <v>19</v>
      </c>
      <c r="E367" s="1" t="s">
        <v>14</v>
      </c>
      <c r="F367" s="1" t="s">
        <v>15</v>
      </c>
      <c r="G367" s="1" t="s">
        <v>16</v>
      </c>
      <c r="H367">
        <v>3</v>
      </c>
      <c r="I367">
        <v>899</v>
      </c>
      <c r="J367">
        <v>2697</v>
      </c>
      <c r="K367" s="1" t="s">
        <v>23</v>
      </c>
      <c r="L367" s="1" t="s">
        <v>18</v>
      </c>
    </row>
    <row r="368" spans="1:12" x14ac:dyDescent="0.3">
      <c r="A368" s="1" t="s">
        <v>662</v>
      </c>
      <c r="B368" s="2" t="s">
        <v>492</v>
      </c>
      <c r="C368" s="2" t="str">
        <f>TEXT(Raw_Data[[#This Row],[Order_Date]],"mmmm")</f>
        <v>March</v>
      </c>
      <c r="D368" s="1" t="s">
        <v>52</v>
      </c>
      <c r="E368" s="1" t="s">
        <v>20</v>
      </c>
      <c r="F368" s="1" t="s">
        <v>15</v>
      </c>
      <c r="G368" s="1" t="s">
        <v>16</v>
      </c>
      <c r="H368">
        <v>4</v>
      </c>
      <c r="I368">
        <v>899</v>
      </c>
      <c r="J368">
        <v>3596</v>
      </c>
      <c r="K368" s="1" t="s">
        <v>54</v>
      </c>
      <c r="L368" s="1" t="s">
        <v>18</v>
      </c>
    </row>
    <row r="369" spans="1:12" x14ac:dyDescent="0.3">
      <c r="A369" s="1" t="s">
        <v>663</v>
      </c>
      <c r="B369" s="2" t="s">
        <v>96</v>
      </c>
      <c r="C369" s="2" t="str">
        <f>TEXT(Raw_Data[[#This Row],[Order_Date]],"mmmm")</f>
        <v>December</v>
      </c>
      <c r="D369" s="1" t="s">
        <v>49</v>
      </c>
      <c r="E369" s="1" t="s">
        <v>20</v>
      </c>
      <c r="F369" s="1" t="s">
        <v>15</v>
      </c>
      <c r="G369" s="1" t="s">
        <v>16</v>
      </c>
      <c r="H369">
        <v>1</v>
      </c>
      <c r="I369">
        <v>899</v>
      </c>
      <c r="J369">
        <v>899</v>
      </c>
      <c r="K369" s="1" t="s">
        <v>17</v>
      </c>
      <c r="L369" s="1" t="s">
        <v>29</v>
      </c>
    </row>
    <row r="370" spans="1:12" x14ac:dyDescent="0.3">
      <c r="A370" s="1" t="s">
        <v>664</v>
      </c>
      <c r="B370" s="2" t="s">
        <v>665</v>
      </c>
      <c r="C370" s="2" t="str">
        <f>TEXT(Raw_Data[[#This Row],[Order_Date]],"mmmm")</f>
        <v>September</v>
      </c>
      <c r="D370" s="1" t="s">
        <v>31</v>
      </c>
      <c r="E370" s="1" t="s">
        <v>53</v>
      </c>
      <c r="F370" s="1" t="s">
        <v>34</v>
      </c>
      <c r="G370" s="1" t="s">
        <v>16</v>
      </c>
      <c r="H370">
        <v>5</v>
      </c>
      <c r="I370">
        <v>999</v>
      </c>
      <c r="J370">
        <v>4995</v>
      </c>
      <c r="K370" s="1" t="s">
        <v>54</v>
      </c>
      <c r="L370" s="1" t="s">
        <v>18</v>
      </c>
    </row>
    <row r="371" spans="1:12" x14ac:dyDescent="0.3">
      <c r="A371" s="1" t="s">
        <v>666</v>
      </c>
      <c r="B371" s="2" t="s">
        <v>667</v>
      </c>
      <c r="C371" s="2" t="str">
        <f>TEXT(Raw_Data[[#This Row],[Order_Date]],"mmmm")</f>
        <v>January</v>
      </c>
      <c r="D371" s="1" t="s">
        <v>36</v>
      </c>
      <c r="E371" s="1" t="s">
        <v>56</v>
      </c>
      <c r="F371" s="1" t="s">
        <v>63</v>
      </c>
      <c r="G371" s="1" t="s">
        <v>27</v>
      </c>
      <c r="H371">
        <v>1</v>
      </c>
      <c r="I371">
        <v>1799</v>
      </c>
      <c r="J371">
        <v>1799</v>
      </c>
      <c r="K371" s="1" t="s">
        <v>54</v>
      </c>
      <c r="L371" s="1" t="s">
        <v>47</v>
      </c>
    </row>
    <row r="372" spans="1:12" x14ac:dyDescent="0.3">
      <c r="A372" s="1" t="s">
        <v>668</v>
      </c>
      <c r="B372" s="2" t="s">
        <v>669</v>
      </c>
      <c r="C372" s="2" t="str">
        <f>TEXT(Raw_Data[[#This Row],[Order_Date]],"mmmm")</f>
        <v>December</v>
      </c>
      <c r="D372" s="1" t="s">
        <v>39</v>
      </c>
      <c r="E372" s="1" t="s">
        <v>50</v>
      </c>
      <c r="F372" s="1" t="s">
        <v>15</v>
      </c>
      <c r="G372" s="1" t="s">
        <v>16</v>
      </c>
      <c r="H372">
        <v>3</v>
      </c>
      <c r="I372">
        <v>899</v>
      </c>
      <c r="J372">
        <v>2697</v>
      </c>
      <c r="K372" s="1" t="s">
        <v>44</v>
      </c>
      <c r="L372" s="1" t="s">
        <v>47</v>
      </c>
    </row>
    <row r="373" spans="1:12" x14ac:dyDescent="0.3">
      <c r="A373" s="1" t="s">
        <v>670</v>
      </c>
      <c r="B373" s="2" t="s">
        <v>671</v>
      </c>
      <c r="C373" s="2" t="str">
        <f>TEXT(Raw_Data[[#This Row],[Order_Date]],"mmmm")</f>
        <v>September</v>
      </c>
      <c r="D373" s="1" t="s">
        <v>49</v>
      </c>
      <c r="E373" s="1" t="s">
        <v>33</v>
      </c>
      <c r="F373" s="1" t="s">
        <v>34</v>
      </c>
      <c r="G373" s="1" t="s">
        <v>16</v>
      </c>
      <c r="H373">
        <v>1</v>
      </c>
      <c r="I373">
        <v>999</v>
      </c>
      <c r="J373">
        <v>999</v>
      </c>
      <c r="K373" s="1" t="s">
        <v>17</v>
      </c>
      <c r="L373" s="1" t="s">
        <v>18</v>
      </c>
    </row>
    <row r="374" spans="1:12" x14ac:dyDescent="0.3">
      <c r="A374" s="1" t="s">
        <v>672</v>
      </c>
      <c r="B374" s="2" t="s">
        <v>238</v>
      </c>
      <c r="C374" s="2" t="str">
        <f>TEXT(Raw_Data[[#This Row],[Order_Date]],"mmmm")</f>
        <v>December</v>
      </c>
      <c r="D374" s="1" t="s">
        <v>39</v>
      </c>
      <c r="E374" s="1" t="s">
        <v>14</v>
      </c>
      <c r="F374" s="1" t="s">
        <v>15</v>
      </c>
      <c r="G374" s="1" t="s">
        <v>16</v>
      </c>
      <c r="H374">
        <v>5</v>
      </c>
      <c r="I374">
        <v>899</v>
      </c>
      <c r="J374">
        <v>4495</v>
      </c>
      <c r="K374" s="1" t="s">
        <v>28</v>
      </c>
      <c r="L374" s="1" t="s">
        <v>18</v>
      </c>
    </row>
    <row r="375" spans="1:12" x14ac:dyDescent="0.3">
      <c r="A375" s="1" t="s">
        <v>673</v>
      </c>
      <c r="B375" s="2" t="s">
        <v>48</v>
      </c>
      <c r="C375" s="2" t="str">
        <f>TEXT(Raw_Data[[#This Row],[Order_Date]],"mmmm")</f>
        <v>May</v>
      </c>
      <c r="D375" s="1" t="s">
        <v>25</v>
      </c>
      <c r="E375" s="1" t="s">
        <v>50</v>
      </c>
      <c r="F375" s="1" t="s">
        <v>65</v>
      </c>
      <c r="G375" s="1" t="s">
        <v>16</v>
      </c>
      <c r="H375">
        <v>-2</v>
      </c>
      <c r="I375">
        <v>599</v>
      </c>
      <c r="J375">
        <v>599</v>
      </c>
      <c r="K375" s="1" t="s">
        <v>54</v>
      </c>
      <c r="L375" s="1" t="s">
        <v>29</v>
      </c>
    </row>
    <row r="376" spans="1:12" x14ac:dyDescent="0.3">
      <c r="A376" s="1" t="s">
        <v>674</v>
      </c>
      <c r="B376" s="2" t="s">
        <v>582</v>
      </c>
      <c r="C376" s="2" t="str">
        <f>TEXT(Raw_Data[[#This Row],[Order_Date]],"mmmm")</f>
        <v>January</v>
      </c>
      <c r="D376" s="1" t="s">
        <v>19</v>
      </c>
      <c r="E376" s="1" t="s">
        <v>14</v>
      </c>
      <c r="F376" s="1" t="s">
        <v>46</v>
      </c>
      <c r="G376" s="1" t="s">
        <v>16</v>
      </c>
      <c r="H376">
        <v>2</v>
      </c>
      <c r="I376">
        <v>1499</v>
      </c>
      <c r="J376">
        <v>2998</v>
      </c>
      <c r="K376" s="1" t="s">
        <v>54</v>
      </c>
      <c r="L376" s="1" t="s">
        <v>18</v>
      </c>
    </row>
    <row r="377" spans="1:12" x14ac:dyDescent="0.3">
      <c r="A377" s="1" t="s">
        <v>675</v>
      </c>
      <c r="B377" s="2" t="s">
        <v>676</v>
      </c>
      <c r="C377" s="2" t="str">
        <f>TEXT(Raw_Data[[#This Row],[Order_Date]],"mmmm")</f>
        <v>May</v>
      </c>
      <c r="D377" s="1" t="s">
        <v>39</v>
      </c>
      <c r="E377" s="1" t="s">
        <v>33</v>
      </c>
      <c r="F377" s="1" t="s">
        <v>38</v>
      </c>
      <c r="G377" s="1" t="s">
        <v>27</v>
      </c>
      <c r="H377">
        <v>3</v>
      </c>
      <c r="I377">
        <v>12499</v>
      </c>
      <c r="J377">
        <v>37497</v>
      </c>
      <c r="K377" s="1" t="s">
        <v>23</v>
      </c>
      <c r="L377" s="1" t="s">
        <v>47</v>
      </c>
    </row>
    <row r="378" spans="1:12" x14ac:dyDescent="0.3">
      <c r="A378" s="1" t="s">
        <v>677</v>
      </c>
      <c r="B378" s="2" t="s">
        <v>403</v>
      </c>
      <c r="C378" s="2" t="str">
        <f>TEXT(Raw_Data[[#This Row],[Order_Date]],"mmmm")</f>
        <v>April</v>
      </c>
      <c r="D378" s="1" t="s">
        <v>25</v>
      </c>
      <c r="E378" s="1" t="s">
        <v>56</v>
      </c>
      <c r="F378" s="1" t="s">
        <v>65</v>
      </c>
      <c r="G378" s="1" t="s">
        <v>16</v>
      </c>
      <c r="H378">
        <v>2</v>
      </c>
      <c r="I378">
        <v>599</v>
      </c>
      <c r="J378">
        <v>1198</v>
      </c>
      <c r="K378" s="1" t="s">
        <v>23</v>
      </c>
      <c r="L378" s="1" t="s">
        <v>29</v>
      </c>
    </row>
    <row r="379" spans="1:12" x14ac:dyDescent="0.3">
      <c r="A379" s="1" t="s">
        <v>678</v>
      </c>
      <c r="B379" s="2" t="s">
        <v>479</v>
      </c>
      <c r="C379" s="2" t="str">
        <f>TEXT(Raw_Data[[#This Row],[Order_Date]],"mmmm")</f>
        <v>June</v>
      </c>
      <c r="D379" s="1" t="s">
        <v>39</v>
      </c>
      <c r="E379" s="1" t="s">
        <v>50</v>
      </c>
      <c r="F379" s="1" t="s">
        <v>63</v>
      </c>
      <c r="G379" s="1" t="s">
        <v>27</v>
      </c>
      <c r="H379">
        <v>3</v>
      </c>
      <c r="I379">
        <v>1799</v>
      </c>
      <c r="J379">
        <v>5397</v>
      </c>
      <c r="K379" s="1" t="s">
        <v>23</v>
      </c>
      <c r="L379" s="1" t="s">
        <v>18</v>
      </c>
    </row>
    <row r="380" spans="1:12" x14ac:dyDescent="0.3">
      <c r="A380" s="1" t="s">
        <v>679</v>
      </c>
      <c r="B380" s="2" t="s">
        <v>115</v>
      </c>
      <c r="C380" s="2" t="str">
        <f>TEXT(Raw_Data[[#This Row],[Order_Date]],"mmmm")</f>
        <v>October</v>
      </c>
      <c r="D380" s="1" t="s">
        <v>31</v>
      </c>
      <c r="E380" s="1" t="s">
        <v>14</v>
      </c>
      <c r="F380" s="1" t="s">
        <v>26</v>
      </c>
      <c r="G380" s="1" t="s">
        <v>27</v>
      </c>
      <c r="H380">
        <v>3</v>
      </c>
      <c r="I380">
        <v>2199</v>
      </c>
      <c r="J380">
        <v>6597</v>
      </c>
      <c r="K380" s="1" t="s">
        <v>44</v>
      </c>
      <c r="L380" s="1" t="s">
        <v>18</v>
      </c>
    </row>
    <row r="381" spans="1:12" x14ac:dyDescent="0.3">
      <c r="A381" s="1" t="s">
        <v>680</v>
      </c>
      <c r="B381" s="2" t="s">
        <v>599</v>
      </c>
      <c r="C381" s="2" t="str">
        <f>TEXT(Raw_Data[[#This Row],[Order_Date]],"mmmm")</f>
        <v>April</v>
      </c>
      <c r="D381" s="1" t="s">
        <v>13</v>
      </c>
      <c r="E381" s="1" t="s">
        <v>53</v>
      </c>
      <c r="F381" s="1" t="s">
        <v>41</v>
      </c>
      <c r="G381" s="1" t="s">
        <v>42</v>
      </c>
      <c r="H381">
        <v>4</v>
      </c>
      <c r="I381">
        <v>7499</v>
      </c>
      <c r="J381">
        <v>29996</v>
      </c>
      <c r="K381" s="1" t="s">
        <v>23</v>
      </c>
      <c r="L381" s="1" t="s">
        <v>29</v>
      </c>
    </row>
    <row r="382" spans="1:12" x14ac:dyDescent="0.3">
      <c r="A382" s="1" t="s">
        <v>681</v>
      </c>
      <c r="B382" s="2" t="s">
        <v>401</v>
      </c>
      <c r="C382" s="2" t="str">
        <f>TEXT(Raw_Data[[#This Row],[Order_Date]],"mmmm")</f>
        <v>October</v>
      </c>
      <c r="D382" s="1" t="s">
        <v>36</v>
      </c>
      <c r="E382" s="1" t="s">
        <v>20</v>
      </c>
      <c r="F382" s="1" t="s">
        <v>65</v>
      </c>
      <c r="G382" s="1" t="s">
        <v>16</v>
      </c>
      <c r="H382">
        <v>2</v>
      </c>
      <c r="I382">
        <v>599</v>
      </c>
      <c r="J382">
        <v>1198</v>
      </c>
      <c r="K382" s="1" t="s">
        <v>54</v>
      </c>
      <c r="L382" s="1" t="s">
        <v>18</v>
      </c>
    </row>
    <row r="383" spans="1:12" x14ac:dyDescent="0.3">
      <c r="A383" s="1" t="s">
        <v>682</v>
      </c>
      <c r="B383" s="2" t="s">
        <v>683</v>
      </c>
      <c r="C383" s="2" t="str">
        <f>TEXT(Raw_Data[[#This Row],[Order_Date]],"mmmm")</f>
        <v>February</v>
      </c>
      <c r="D383" s="1" t="s">
        <v>13</v>
      </c>
      <c r="E383" s="1" t="s">
        <v>14</v>
      </c>
      <c r="F383" s="1" t="s">
        <v>38</v>
      </c>
      <c r="G383" s="1" t="s">
        <v>27</v>
      </c>
      <c r="H383">
        <v>3</v>
      </c>
      <c r="I383">
        <v>12499</v>
      </c>
      <c r="J383">
        <v>37497</v>
      </c>
      <c r="K383" s="1" t="s">
        <v>44</v>
      </c>
      <c r="L383" s="1" t="s">
        <v>29</v>
      </c>
    </row>
    <row r="384" spans="1:12" x14ac:dyDescent="0.3">
      <c r="A384" s="1" t="s">
        <v>684</v>
      </c>
      <c r="B384" s="2" t="s">
        <v>635</v>
      </c>
      <c r="C384" s="2" t="str">
        <f>TEXT(Raw_Data[[#This Row],[Order_Date]],"mmmm")</f>
        <v>December</v>
      </c>
      <c r="D384" s="1" t="s">
        <v>36</v>
      </c>
      <c r="E384" s="1" t="s">
        <v>50</v>
      </c>
      <c r="F384" s="1" t="s">
        <v>21</v>
      </c>
      <c r="G384" s="1" t="s">
        <v>22</v>
      </c>
      <c r="H384">
        <v>4</v>
      </c>
      <c r="I384">
        <v>249</v>
      </c>
      <c r="J384">
        <v>996</v>
      </c>
      <c r="K384" s="1" t="s">
        <v>23</v>
      </c>
      <c r="L384" s="1" t="s">
        <v>47</v>
      </c>
    </row>
    <row r="385" spans="1:12" x14ac:dyDescent="0.3">
      <c r="A385" s="1" t="s">
        <v>685</v>
      </c>
      <c r="B385" s="2" t="s">
        <v>435</v>
      </c>
      <c r="C385" s="2" t="str">
        <f>TEXT(Raw_Data[[#This Row],[Order_Date]],"mmmm")</f>
        <v>March</v>
      </c>
      <c r="D385" s="1" t="s">
        <v>19</v>
      </c>
      <c r="E385" s="1" t="s">
        <v>58</v>
      </c>
      <c r="F385" s="1" t="s">
        <v>15</v>
      </c>
      <c r="G385" s="1" t="s">
        <v>16</v>
      </c>
      <c r="H385">
        <v>5</v>
      </c>
      <c r="I385">
        <v>899</v>
      </c>
      <c r="J385">
        <v>4495</v>
      </c>
      <c r="K385" s="1" t="s">
        <v>28</v>
      </c>
      <c r="L385" s="1" t="s">
        <v>47</v>
      </c>
    </row>
    <row r="386" spans="1:12" x14ac:dyDescent="0.3">
      <c r="A386" s="1" t="s">
        <v>686</v>
      </c>
      <c r="B386" s="2" t="s">
        <v>687</v>
      </c>
      <c r="C386" s="2" t="str">
        <f>TEXT(Raw_Data[[#This Row],[Order_Date]],"mmmm")</f>
        <v>December</v>
      </c>
      <c r="D386" s="1" t="s">
        <v>49</v>
      </c>
      <c r="E386" s="1" t="s">
        <v>14</v>
      </c>
      <c r="F386" s="1" t="s">
        <v>65</v>
      </c>
      <c r="G386" s="1" t="s">
        <v>16</v>
      </c>
      <c r="H386">
        <v>4</v>
      </c>
      <c r="I386">
        <v>599</v>
      </c>
      <c r="J386">
        <v>2396</v>
      </c>
      <c r="K386" s="1" t="s">
        <v>54</v>
      </c>
      <c r="L386" s="1" t="s">
        <v>18</v>
      </c>
    </row>
    <row r="387" spans="1:12" x14ac:dyDescent="0.3">
      <c r="A387" s="1" t="s">
        <v>688</v>
      </c>
      <c r="B387" s="2" t="s">
        <v>635</v>
      </c>
      <c r="C387" s="2" t="str">
        <f>TEXT(Raw_Data[[#This Row],[Order_Date]],"mmmm")</f>
        <v>December</v>
      </c>
      <c r="D387" s="1" t="s">
        <v>36</v>
      </c>
      <c r="E387" s="1" t="s">
        <v>33</v>
      </c>
      <c r="F387" s="1" t="s">
        <v>34</v>
      </c>
      <c r="G387" s="1" t="s">
        <v>16</v>
      </c>
      <c r="H387">
        <v>4</v>
      </c>
      <c r="I387">
        <v>999</v>
      </c>
      <c r="J387">
        <v>3996</v>
      </c>
      <c r="K387" s="1" t="s">
        <v>44</v>
      </c>
      <c r="L387" s="1" t="s">
        <v>18</v>
      </c>
    </row>
    <row r="388" spans="1:12" x14ac:dyDescent="0.3">
      <c r="A388" s="1" t="s">
        <v>689</v>
      </c>
      <c r="B388" s="2" t="s">
        <v>690</v>
      </c>
      <c r="C388" s="2" t="str">
        <f>TEXT(Raw_Data[[#This Row],[Order_Date]],"mmmm")</f>
        <v>April</v>
      </c>
      <c r="D388" s="1" t="s">
        <v>49</v>
      </c>
      <c r="E388" s="1" t="s">
        <v>58</v>
      </c>
      <c r="F388" s="1" t="s">
        <v>26</v>
      </c>
      <c r="G388" s="1" t="s">
        <v>27</v>
      </c>
      <c r="H388">
        <v>1</v>
      </c>
      <c r="I388">
        <v>2199</v>
      </c>
      <c r="J388">
        <v>2199</v>
      </c>
      <c r="K388" s="1" t="s">
        <v>17</v>
      </c>
      <c r="L388" s="1" t="s">
        <v>18</v>
      </c>
    </row>
    <row r="389" spans="1:12" x14ac:dyDescent="0.3">
      <c r="A389" s="1" t="s">
        <v>691</v>
      </c>
      <c r="B389" s="2" t="s">
        <v>692</v>
      </c>
      <c r="C389" s="2" t="str">
        <f>TEXT(Raw_Data[[#This Row],[Order_Date]],"mmmm")</f>
        <v>August</v>
      </c>
      <c r="D389" s="1" t="s">
        <v>36</v>
      </c>
      <c r="E389" s="1" t="s">
        <v>56</v>
      </c>
      <c r="F389" s="1" t="s">
        <v>46</v>
      </c>
      <c r="G389" s="1" t="s">
        <v>16</v>
      </c>
      <c r="H389">
        <v>4</v>
      </c>
      <c r="I389">
        <v>1499</v>
      </c>
      <c r="J389">
        <v>5996</v>
      </c>
      <c r="K389" s="1" t="s">
        <v>23</v>
      </c>
      <c r="L389" s="1" t="s">
        <v>47</v>
      </c>
    </row>
    <row r="390" spans="1:12" x14ac:dyDescent="0.3">
      <c r="A390" s="1" t="s">
        <v>693</v>
      </c>
      <c r="B390" s="2" t="s">
        <v>273</v>
      </c>
      <c r="C390" s="2" t="str">
        <f>TEXT(Raw_Data[[#This Row],[Order_Date]],"mmmm")</f>
        <v>August</v>
      </c>
      <c r="D390" s="1" t="s">
        <v>31</v>
      </c>
      <c r="E390" s="1" t="s">
        <v>50</v>
      </c>
      <c r="F390" s="1" t="s">
        <v>34</v>
      </c>
      <c r="G390" s="1" t="s">
        <v>16</v>
      </c>
      <c r="H390">
        <v>2</v>
      </c>
      <c r="I390">
        <v>999</v>
      </c>
      <c r="J390">
        <v>1998</v>
      </c>
      <c r="K390" s="1" t="s">
        <v>54</v>
      </c>
      <c r="L390" s="1" t="s">
        <v>18</v>
      </c>
    </row>
    <row r="391" spans="1:12" x14ac:dyDescent="0.3">
      <c r="A391" s="1" t="s">
        <v>694</v>
      </c>
      <c r="B391" s="2" t="s">
        <v>223</v>
      </c>
      <c r="C391" s="2" t="str">
        <f>TEXT(Raw_Data[[#This Row],[Order_Date]],"mmmm")</f>
        <v>December</v>
      </c>
      <c r="D391" s="1" t="s">
        <v>31</v>
      </c>
      <c r="E391" s="1" t="s">
        <v>20</v>
      </c>
      <c r="F391" s="1" t="s">
        <v>15</v>
      </c>
      <c r="G391" s="1" t="s">
        <v>16</v>
      </c>
      <c r="H391">
        <v>2</v>
      </c>
      <c r="I391">
        <v>899</v>
      </c>
      <c r="J391">
        <v>1798</v>
      </c>
      <c r="K391" s="1" t="s">
        <v>17</v>
      </c>
      <c r="L391" s="1" t="s">
        <v>18</v>
      </c>
    </row>
    <row r="392" spans="1:12" x14ac:dyDescent="0.3">
      <c r="A392" s="1" t="s">
        <v>695</v>
      </c>
      <c r="B392" s="2" t="s">
        <v>669</v>
      </c>
      <c r="C392" s="2" t="str">
        <f>TEXT(Raw_Data[[#This Row],[Order_Date]],"mmmm")</f>
        <v>December</v>
      </c>
      <c r="D392" s="1" t="s">
        <v>13</v>
      </c>
      <c r="E392" s="1" t="s">
        <v>33</v>
      </c>
      <c r="F392" s="1" t="s">
        <v>46</v>
      </c>
      <c r="G392" s="1" t="s">
        <v>16</v>
      </c>
      <c r="H392">
        <v>1</v>
      </c>
      <c r="I392">
        <v>1499</v>
      </c>
      <c r="J392">
        <v>1499</v>
      </c>
      <c r="K392" s="1" t="s">
        <v>44</v>
      </c>
      <c r="L392" s="1" t="s">
        <v>47</v>
      </c>
    </row>
    <row r="393" spans="1:12" x14ac:dyDescent="0.3">
      <c r="A393" s="1" t="s">
        <v>696</v>
      </c>
      <c r="B393" s="2" t="s">
        <v>697</v>
      </c>
      <c r="C393" s="2" t="str">
        <f>TEXT(Raw_Data[[#This Row],[Order_Date]],"mmmm")</f>
        <v>May</v>
      </c>
      <c r="D393" s="1" t="s">
        <v>49</v>
      </c>
      <c r="E393" s="1" t="s">
        <v>20</v>
      </c>
      <c r="F393" s="1" t="s">
        <v>65</v>
      </c>
      <c r="G393" s="1" t="s">
        <v>16</v>
      </c>
      <c r="H393">
        <v>3</v>
      </c>
      <c r="I393">
        <v>599</v>
      </c>
      <c r="J393">
        <v>1797</v>
      </c>
      <c r="K393" s="1" t="s">
        <v>44</v>
      </c>
      <c r="L393" s="1" t="s">
        <v>29</v>
      </c>
    </row>
    <row r="394" spans="1:12" x14ac:dyDescent="0.3">
      <c r="A394" s="1" t="s">
        <v>698</v>
      </c>
      <c r="B394" s="2" t="s">
        <v>151</v>
      </c>
      <c r="C394" s="2" t="str">
        <f>TEXT(Raw_Data[[#This Row],[Order_Date]],"mmmm")</f>
        <v>May</v>
      </c>
      <c r="D394" s="1" t="s">
        <v>39</v>
      </c>
      <c r="E394" s="1" t="s">
        <v>50</v>
      </c>
      <c r="F394" s="1" t="s">
        <v>21</v>
      </c>
      <c r="G394" s="1" t="s">
        <v>22</v>
      </c>
      <c r="H394">
        <v>5</v>
      </c>
      <c r="I394">
        <v>249</v>
      </c>
      <c r="J394">
        <v>1245</v>
      </c>
      <c r="K394" s="1" t="s">
        <v>23</v>
      </c>
      <c r="L394" s="1" t="s">
        <v>18</v>
      </c>
    </row>
    <row r="395" spans="1:12" x14ac:dyDescent="0.3">
      <c r="A395" s="1" t="s">
        <v>699</v>
      </c>
      <c r="B395" s="2" t="s">
        <v>78</v>
      </c>
      <c r="C395" s="2" t="str">
        <f>TEXT(Raw_Data[[#This Row],[Order_Date]],"mmmm")</f>
        <v>February</v>
      </c>
      <c r="D395" s="1" t="s">
        <v>13</v>
      </c>
      <c r="E395" s="1" t="s">
        <v>53</v>
      </c>
      <c r="F395" s="1" t="s">
        <v>15</v>
      </c>
      <c r="G395" s="1" t="s">
        <v>16</v>
      </c>
      <c r="H395">
        <v>1</v>
      </c>
      <c r="I395">
        <v>899</v>
      </c>
      <c r="J395">
        <v>899</v>
      </c>
      <c r="K395" s="1" t="s">
        <v>17</v>
      </c>
      <c r="L395" s="1" t="s">
        <v>29</v>
      </c>
    </row>
    <row r="396" spans="1:12" x14ac:dyDescent="0.3">
      <c r="A396" s="1" t="s">
        <v>700</v>
      </c>
      <c r="B396" s="2" t="s">
        <v>701</v>
      </c>
      <c r="C396" s="2" t="str">
        <f>TEXT(Raw_Data[[#This Row],[Order_Date]],"mmmm")</f>
        <v>October</v>
      </c>
      <c r="D396" s="1" t="s">
        <v>31</v>
      </c>
      <c r="E396" s="1" t="s">
        <v>58</v>
      </c>
      <c r="F396" s="1" t="s">
        <v>34</v>
      </c>
      <c r="G396" s="1" t="s">
        <v>16</v>
      </c>
      <c r="H396">
        <v>1</v>
      </c>
      <c r="I396">
        <v>999</v>
      </c>
      <c r="J396">
        <v>999</v>
      </c>
      <c r="K396" s="1" t="s">
        <v>23</v>
      </c>
      <c r="L396" s="1" t="s">
        <v>18</v>
      </c>
    </row>
    <row r="397" spans="1:12" x14ac:dyDescent="0.3">
      <c r="A397" s="1" t="s">
        <v>702</v>
      </c>
      <c r="B397" s="2" t="s">
        <v>99</v>
      </c>
      <c r="C397" s="2" t="str">
        <f>TEXT(Raw_Data[[#This Row],[Order_Date]],"mmmm")</f>
        <v>March</v>
      </c>
      <c r="D397" s="1" t="s">
        <v>39</v>
      </c>
      <c r="E397" s="1" t="s">
        <v>33</v>
      </c>
      <c r="F397" s="1" t="s">
        <v>26</v>
      </c>
      <c r="G397" s="1" t="s">
        <v>27</v>
      </c>
      <c r="H397">
        <v>4</v>
      </c>
      <c r="I397">
        <v>2199</v>
      </c>
      <c r="J397">
        <v>8796</v>
      </c>
      <c r="K397" s="1" t="s">
        <v>23</v>
      </c>
      <c r="L397" s="1" t="s">
        <v>18</v>
      </c>
    </row>
    <row r="398" spans="1:12" x14ac:dyDescent="0.3">
      <c r="A398" s="1" t="s">
        <v>703</v>
      </c>
      <c r="B398" s="2" t="s">
        <v>704</v>
      </c>
      <c r="C398" s="2" t="str">
        <f>TEXT(Raw_Data[[#This Row],[Order_Date]],"mmmm")</f>
        <v>March</v>
      </c>
      <c r="D398" s="1" t="s">
        <v>19</v>
      </c>
      <c r="E398" s="1" t="s">
        <v>56</v>
      </c>
      <c r="F398" s="1" t="s">
        <v>80</v>
      </c>
      <c r="G398" s="1" t="s">
        <v>81</v>
      </c>
      <c r="H398">
        <v>1</v>
      </c>
      <c r="I398">
        <v>1299</v>
      </c>
      <c r="J398">
        <v>1299</v>
      </c>
      <c r="K398" s="1" t="s">
        <v>44</v>
      </c>
      <c r="L398" s="1" t="s">
        <v>18</v>
      </c>
    </row>
    <row r="399" spans="1:12" x14ac:dyDescent="0.3">
      <c r="A399" s="1" t="s">
        <v>705</v>
      </c>
      <c r="B399" s="2" t="s">
        <v>399</v>
      </c>
      <c r="C399" s="2" t="str">
        <f>TEXT(Raw_Data[[#This Row],[Order_Date]],"mmmm")</f>
        <v>March</v>
      </c>
      <c r="D399" s="1" t="s">
        <v>36</v>
      </c>
      <c r="E399" s="1" t="s">
        <v>14</v>
      </c>
      <c r="F399" s="1" t="s">
        <v>38</v>
      </c>
      <c r="G399" s="1" t="s">
        <v>27</v>
      </c>
      <c r="H399">
        <v>4</v>
      </c>
      <c r="I399">
        <v>12499</v>
      </c>
      <c r="K399" s="1" t="s">
        <v>17</v>
      </c>
      <c r="L399" s="1" t="s">
        <v>18</v>
      </c>
    </row>
    <row r="400" spans="1:12" x14ac:dyDescent="0.3">
      <c r="A400" s="1" t="s">
        <v>706</v>
      </c>
      <c r="B400" s="2" t="s">
        <v>707</v>
      </c>
      <c r="C400" s="2" t="str">
        <f>TEXT(Raw_Data[[#This Row],[Order_Date]],"mmmm")</f>
        <v>March</v>
      </c>
      <c r="D400" s="1" t="s">
        <v>25</v>
      </c>
      <c r="E400" s="1" t="s">
        <v>14</v>
      </c>
      <c r="F400" s="1" t="s">
        <v>63</v>
      </c>
      <c r="G400" s="1" t="s">
        <v>27</v>
      </c>
      <c r="H400">
        <v>4</v>
      </c>
      <c r="I400">
        <v>1799</v>
      </c>
      <c r="J400">
        <v>7196</v>
      </c>
      <c r="K400" s="1" t="s">
        <v>54</v>
      </c>
      <c r="L400" s="1" t="s">
        <v>29</v>
      </c>
    </row>
    <row r="401" spans="1:12" x14ac:dyDescent="0.3">
      <c r="A401" s="1" t="s">
        <v>708</v>
      </c>
      <c r="B401" s="2" t="s">
        <v>460</v>
      </c>
      <c r="C401" s="2" t="str">
        <f>TEXT(Raw_Data[[#This Row],[Order_Date]],"mmmm")</f>
        <v>September</v>
      </c>
      <c r="D401" s="1" t="s">
        <v>25</v>
      </c>
      <c r="E401" s="1" t="s">
        <v>58</v>
      </c>
      <c r="F401" s="1" t="s">
        <v>38</v>
      </c>
      <c r="G401" s="1" t="s">
        <v>27</v>
      </c>
      <c r="H401">
        <v>5</v>
      </c>
      <c r="I401">
        <v>12499</v>
      </c>
      <c r="J401">
        <v>62495</v>
      </c>
      <c r="K401" s="1" t="s">
        <v>54</v>
      </c>
      <c r="L401" s="1" t="s">
        <v>29</v>
      </c>
    </row>
    <row r="402" spans="1:12" x14ac:dyDescent="0.3">
      <c r="A402" s="1" t="s">
        <v>709</v>
      </c>
      <c r="B402" s="2" t="s">
        <v>113</v>
      </c>
      <c r="C402" s="2" t="str">
        <f>TEXT(Raw_Data[[#This Row],[Order_Date]],"mmmm")</f>
        <v>April</v>
      </c>
      <c r="D402" s="1" t="s">
        <v>13</v>
      </c>
      <c r="E402" s="1" t="s">
        <v>20</v>
      </c>
      <c r="F402" s="1" t="s">
        <v>46</v>
      </c>
      <c r="G402" s="1" t="s">
        <v>16</v>
      </c>
      <c r="H402">
        <v>4</v>
      </c>
      <c r="I402">
        <v>1499</v>
      </c>
      <c r="J402">
        <v>5996</v>
      </c>
      <c r="K402" s="1" t="s">
        <v>44</v>
      </c>
      <c r="L402" s="1" t="s">
        <v>18</v>
      </c>
    </row>
    <row r="403" spans="1:12" x14ac:dyDescent="0.3">
      <c r="A403" s="1" t="s">
        <v>710</v>
      </c>
      <c r="B403" s="2" t="s">
        <v>107</v>
      </c>
      <c r="C403" s="2" t="str">
        <f>TEXT(Raw_Data[[#This Row],[Order_Date]],"mmmm")</f>
        <v>September</v>
      </c>
      <c r="D403" s="1" t="s">
        <v>36</v>
      </c>
      <c r="E403" s="1" t="s">
        <v>33</v>
      </c>
      <c r="F403" s="1" t="s">
        <v>80</v>
      </c>
      <c r="G403" s="1" t="s">
        <v>81</v>
      </c>
      <c r="H403">
        <v>5</v>
      </c>
      <c r="I403">
        <v>1299</v>
      </c>
      <c r="J403">
        <v>6495</v>
      </c>
      <c r="K403" s="1" t="s">
        <v>44</v>
      </c>
      <c r="L403" s="1" t="s">
        <v>18</v>
      </c>
    </row>
    <row r="404" spans="1:12" x14ac:dyDescent="0.3">
      <c r="A404" s="1" t="s">
        <v>711</v>
      </c>
      <c r="B404" s="2" t="s">
        <v>513</v>
      </c>
      <c r="C404" s="2" t="str">
        <f>TEXT(Raw_Data[[#This Row],[Order_Date]],"mmmm")</f>
        <v>June</v>
      </c>
      <c r="D404" s="1" t="s">
        <v>13</v>
      </c>
      <c r="E404" s="1" t="s">
        <v>20</v>
      </c>
      <c r="F404" s="1" t="s">
        <v>46</v>
      </c>
      <c r="G404" s="1" t="s">
        <v>16</v>
      </c>
      <c r="H404">
        <v>1</v>
      </c>
      <c r="I404">
        <v>1499</v>
      </c>
      <c r="J404">
        <v>1499</v>
      </c>
      <c r="K404" s="1" t="s">
        <v>54</v>
      </c>
      <c r="L404" s="1" t="s">
        <v>18</v>
      </c>
    </row>
    <row r="405" spans="1:12" x14ac:dyDescent="0.3">
      <c r="A405" s="1" t="s">
        <v>712</v>
      </c>
      <c r="B405" s="2" t="s">
        <v>35</v>
      </c>
      <c r="C405" s="2" t="str">
        <f>TEXT(Raw_Data[[#This Row],[Order_Date]],"mmmm")</f>
        <v>July</v>
      </c>
      <c r="D405" s="1" t="s">
        <v>13</v>
      </c>
      <c r="E405" s="1" t="s">
        <v>53</v>
      </c>
      <c r="F405" s="1" t="s">
        <v>80</v>
      </c>
      <c r="G405" s="1" t="s">
        <v>81</v>
      </c>
      <c r="H405">
        <v>5</v>
      </c>
      <c r="I405">
        <v>1299</v>
      </c>
      <c r="J405">
        <v>6495</v>
      </c>
      <c r="K405" s="1" t="s">
        <v>23</v>
      </c>
      <c r="L405" s="1" t="s">
        <v>18</v>
      </c>
    </row>
    <row r="406" spans="1:12" x14ac:dyDescent="0.3">
      <c r="A406" s="1" t="s">
        <v>713</v>
      </c>
      <c r="B406" s="2" t="s">
        <v>628</v>
      </c>
      <c r="C406" s="2" t="str">
        <f>TEXT(Raw_Data[[#This Row],[Order_Date]],"mmmm")</f>
        <v>October</v>
      </c>
      <c r="D406" s="1" t="s">
        <v>25</v>
      </c>
      <c r="E406" s="1" t="s">
        <v>14</v>
      </c>
      <c r="F406" s="1" t="s">
        <v>26</v>
      </c>
      <c r="G406" s="1" t="s">
        <v>27</v>
      </c>
      <c r="H406">
        <v>3</v>
      </c>
      <c r="I406">
        <v>2199</v>
      </c>
      <c r="J406">
        <v>6597</v>
      </c>
      <c r="K406" s="1" t="s">
        <v>28</v>
      </c>
      <c r="L406" s="1" t="s">
        <v>29</v>
      </c>
    </row>
    <row r="407" spans="1:12" x14ac:dyDescent="0.3">
      <c r="A407" s="1" t="s">
        <v>714</v>
      </c>
      <c r="B407" s="2" t="s">
        <v>126</v>
      </c>
      <c r="C407" s="2" t="str">
        <f>TEXT(Raw_Data[[#This Row],[Order_Date]],"mmmm")</f>
        <v>April</v>
      </c>
      <c r="D407" s="1" t="s">
        <v>13</v>
      </c>
      <c r="E407" s="1" t="s">
        <v>33</v>
      </c>
      <c r="F407" s="1" t="s">
        <v>34</v>
      </c>
      <c r="G407" s="1" t="s">
        <v>16</v>
      </c>
      <c r="H407">
        <v>2</v>
      </c>
      <c r="I407">
        <v>999</v>
      </c>
      <c r="J407">
        <v>1998</v>
      </c>
      <c r="K407" s="1" t="s">
        <v>54</v>
      </c>
      <c r="L407" s="1" t="s">
        <v>47</v>
      </c>
    </row>
    <row r="408" spans="1:12" x14ac:dyDescent="0.3">
      <c r="A408" s="1" t="s">
        <v>715</v>
      </c>
      <c r="B408" s="2" t="s">
        <v>289</v>
      </c>
      <c r="C408" s="2" t="str">
        <f>TEXT(Raw_Data[[#This Row],[Order_Date]],"mmmm")</f>
        <v>October</v>
      </c>
      <c r="D408" s="1" t="s">
        <v>49</v>
      </c>
      <c r="E408" s="1" t="s">
        <v>14</v>
      </c>
      <c r="F408" s="1" t="s">
        <v>65</v>
      </c>
      <c r="G408" s="1" t="s">
        <v>16</v>
      </c>
      <c r="H408">
        <v>3</v>
      </c>
      <c r="I408">
        <v>599</v>
      </c>
      <c r="J408">
        <v>1797</v>
      </c>
      <c r="K408" s="1" t="s">
        <v>44</v>
      </c>
      <c r="L408" s="1" t="s">
        <v>47</v>
      </c>
    </row>
    <row r="409" spans="1:12" x14ac:dyDescent="0.3">
      <c r="A409" s="1" t="s">
        <v>716</v>
      </c>
      <c r="B409" s="2" t="s">
        <v>717</v>
      </c>
      <c r="C409" s="2" t="str">
        <f>TEXT(Raw_Data[[#This Row],[Order_Date]],"mmmm")</f>
        <v>September</v>
      </c>
      <c r="D409" s="1" t="s">
        <v>25</v>
      </c>
      <c r="E409" s="1" t="s">
        <v>58</v>
      </c>
      <c r="F409" s="1" t="s">
        <v>63</v>
      </c>
      <c r="G409" s="1" t="s">
        <v>27</v>
      </c>
      <c r="H409">
        <v>2</v>
      </c>
      <c r="I409">
        <v>1799</v>
      </c>
      <c r="J409">
        <v>3598</v>
      </c>
      <c r="K409" s="1" t="s">
        <v>23</v>
      </c>
      <c r="L409" s="1" t="s">
        <v>18</v>
      </c>
    </row>
    <row r="410" spans="1:12" x14ac:dyDescent="0.3">
      <c r="A410" s="1" t="s">
        <v>718</v>
      </c>
      <c r="B410" s="2" t="s">
        <v>171</v>
      </c>
      <c r="C410" s="2" t="str">
        <f>TEXT(Raw_Data[[#This Row],[Order_Date]],"mmmm")</f>
        <v>January</v>
      </c>
      <c r="D410" s="1" t="s">
        <v>52</v>
      </c>
      <c r="E410" s="1" t="s">
        <v>20</v>
      </c>
      <c r="F410" s="1" t="s">
        <v>41</v>
      </c>
      <c r="G410" s="1" t="s">
        <v>42</v>
      </c>
      <c r="H410">
        <v>2</v>
      </c>
      <c r="I410">
        <v>7499</v>
      </c>
      <c r="J410">
        <v>14998</v>
      </c>
      <c r="K410" s="1" t="s">
        <v>54</v>
      </c>
      <c r="L410" s="1" t="s">
        <v>47</v>
      </c>
    </row>
    <row r="411" spans="1:12" x14ac:dyDescent="0.3">
      <c r="A411" s="1" t="s">
        <v>719</v>
      </c>
      <c r="B411" s="2" t="s">
        <v>720</v>
      </c>
      <c r="C411" s="2" t="str">
        <f>TEXT(Raw_Data[[#This Row],[Order_Date]],"mmmm")</f>
        <v>June</v>
      </c>
      <c r="D411" s="1" t="s">
        <v>49</v>
      </c>
      <c r="E411" s="1" t="s">
        <v>33</v>
      </c>
      <c r="F411" s="1" t="s">
        <v>26</v>
      </c>
      <c r="G411" s="1" t="s">
        <v>27</v>
      </c>
      <c r="H411">
        <v>2</v>
      </c>
      <c r="I411">
        <v>2199</v>
      </c>
      <c r="J411">
        <v>4398</v>
      </c>
      <c r="K411" s="1" t="s">
        <v>23</v>
      </c>
      <c r="L411" s="1" t="s">
        <v>18</v>
      </c>
    </row>
    <row r="412" spans="1:12" x14ac:dyDescent="0.3">
      <c r="A412" s="1" t="s">
        <v>721</v>
      </c>
      <c r="B412" s="2" t="s">
        <v>40</v>
      </c>
      <c r="C412" s="2" t="str">
        <f>TEXT(Raw_Data[[#This Row],[Order_Date]],"mmmm")</f>
        <v>December</v>
      </c>
      <c r="D412" s="1" t="s">
        <v>49</v>
      </c>
      <c r="E412" s="1" t="s">
        <v>58</v>
      </c>
      <c r="F412" s="1" t="s">
        <v>46</v>
      </c>
      <c r="G412" s="1" t="s">
        <v>16</v>
      </c>
      <c r="H412">
        <v>5</v>
      </c>
      <c r="I412">
        <v>1499</v>
      </c>
      <c r="J412">
        <v>7495</v>
      </c>
      <c r="K412" s="1" t="s">
        <v>28</v>
      </c>
      <c r="L412" s="1" t="s">
        <v>18</v>
      </c>
    </row>
    <row r="413" spans="1:12" x14ac:dyDescent="0.3">
      <c r="A413" s="1" t="s">
        <v>722</v>
      </c>
      <c r="B413" s="2" t="s">
        <v>40</v>
      </c>
      <c r="C413" s="2" t="str">
        <f>TEXT(Raw_Data[[#This Row],[Order_Date]],"mmmm")</f>
        <v>December</v>
      </c>
      <c r="D413" s="1" t="s">
        <v>19</v>
      </c>
      <c r="E413" s="1" t="s">
        <v>58</v>
      </c>
      <c r="F413" s="1" t="s">
        <v>15</v>
      </c>
      <c r="G413" s="1" t="s">
        <v>16</v>
      </c>
      <c r="H413">
        <v>3</v>
      </c>
      <c r="I413">
        <v>899</v>
      </c>
      <c r="J413">
        <v>2697</v>
      </c>
      <c r="K413" s="1" t="s">
        <v>54</v>
      </c>
      <c r="L413" s="1" t="s">
        <v>18</v>
      </c>
    </row>
    <row r="414" spans="1:12" x14ac:dyDescent="0.3">
      <c r="A414" s="1" t="s">
        <v>723</v>
      </c>
      <c r="B414" s="2" t="s">
        <v>156</v>
      </c>
      <c r="C414" s="2" t="str">
        <f>TEXT(Raw_Data[[#This Row],[Order_Date]],"mmmm")</f>
        <v>March</v>
      </c>
      <c r="D414" s="1" t="s">
        <v>19</v>
      </c>
      <c r="E414" s="1" t="s">
        <v>50</v>
      </c>
      <c r="F414" s="1" t="s">
        <v>34</v>
      </c>
      <c r="G414" s="1" t="s">
        <v>16</v>
      </c>
      <c r="H414">
        <v>2</v>
      </c>
      <c r="I414">
        <v>999</v>
      </c>
      <c r="J414">
        <v>1998</v>
      </c>
      <c r="K414" s="1" t="s">
        <v>54</v>
      </c>
      <c r="L414" s="1" t="s">
        <v>18</v>
      </c>
    </row>
    <row r="415" spans="1:12" x14ac:dyDescent="0.3">
      <c r="A415" s="1" t="s">
        <v>724</v>
      </c>
      <c r="B415" s="2" t="s">
        <v>725</v>
      </c>
      <c r="C415" s="2" t="str">
        <f>TEXT(Raw_Data[[#This Row],[Order_Date]],"mmmm")</f>
        <v>July</v>
      </c>
      <c r="D415" s="1" t="s">
        <v>13</v>
      </c>
      <c r="E415" s="1" t="s">
        <v>53</v>
      </c>
      <c r="F415" s="1" t="s">
        <v>21</v>
      </c>
      <c r="G415" s="1" t="s">
        <v>22</v>
      </c>
      <c r="H415">
        <v>5</v>
      </c>
      <c r="I415">
        <v>249</v>
      </c>
      <c r="J415">
        <v>1245</v>
      </c>
      <c r="K415" s="1" t="s">
        <v>44</v>
      </c>
      <c r="L415" s="1" t="s">
        <v>18</v>
      </c>
    </row>
    <row r="416" spans="1:1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0C91-92E3-495A-8C9C-A2E7B213D0B6}">
  <dimension ref="A1:N6"/>
  <sheetViews>
    <sheetView showGridLines="0" tabSelected="1" topLeftCell="A2" zoomScale="74" workbookViewId="0">
      <selection activeCell="Q7" sqref="Q7"/>
    </sheetView>
  </sheetViews>
  <sheetFormatPr defaultRowHeight="14.4" x14ac:dyDescent="0.3"/>
  <cols>
    <col min="1" max="16384" width="8.88671875" style="6"/>
  </cols>
  <sheetData>
    <row r="1" spans="1:14" s="7" customFormat="1" x14ac:dyDescent="0.3"/>
    <row r="2" spans="1:14" s="7" customFormat="1" ht="28.8" x14ac:dyDescent="0.55000000000000004">
      <c r="F2" s="8" t="s">
        <v>743</v>
      </c>
      <c r="G2" s="9"/>
      <c r="H2" s="9"/>
      <c r="I2" s="9"/>
      <c r="J2" s="9"/>
      <c r="K2" s="9"/>
      <c r="L2" s="9"/>
    </row>
    <row r="3" spans="1:14" s="7" customFormat="1" x14ac:dyDescent="0.3"/>
    <row r="4" spans="1:14" ht="25.2" x14ac:dyDescent="0.5">
      <c r="A4" s="19"/>
      <c r="B4" s="23" t="s">
        <v>744</v>
      </c>
      <c r="C4" s="24"/>
      <c r="G4" s="10"/>
      <c r="H4" s="22" t="s">
        <v>745</v>
      </c>
      <c r="I4" s="17"/>
      <c r="L4" s="19"/>
      <c r="M4" s="20" t="s">
        <v>746</v>
      </c>
      <c r="N4" s="21"/>
    </row>
    <row r="5" spans="1:14" x14ac:dyDescent="0.3">
      <c r="A5" s="11"/>
      <c r="B5" s="12">
        <f>SUM('Raw_Data'!J5:J415)</f>
        <v>3819905</v>
      </c>
      <c r="C5" s="13"/>
      <c r="G5" s="11"/>
      <c r="H5" s="18">
        <f>COUNTA('Raw_Data'!A5:A415)</f>
        <v>411</v>
      </c>
      <c r="I5" s="13"/>
      <c r="L5" s="11"/>
      <c r="M5" s="18">
        <f>SUM('Raw_Data'!H5:H415)</f>
        <v>1297</v>
      </c>
      <c r="N5" s="13"/>
    </row>
    <row r="6" spans="1:14" x14ac:dyDescent="0.3">
      <c r="A6" s="14"/>
      <c r="B6" s="15"/>
      <c r="C6" s="16"/>
      <c r="G6" s="14"/>
      <c r="H6" s="15"/>
      <c r="I6" s="16"/>
      <c r="L6" s="14"/>
      <c r="M6" s="15"/>
      <c r="N6" s="16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45548C-6640-48C9-A4BF-D09932C1E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SALES</vt:lpstr>
      <vt:lpstr>CITY WISE</vt:lpstr>
      <vt:lpstr>CATEGORY</vt:lpstr>
      <vt:lpstr>ORDER STATUS</vt:lpstr>
      <vt:lpstr>PRODUCT SALES</vt:lpstr>
      <vt:lpstr>Raw_Data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rajbhar</dc:creator>
  <cp:lastModifiedBy>vishal rajbhar</cp:lastModifiedBy>
  <dcterms:created xsi:type="dcterms:W3CDTF">2026-10-14T06:52:38Z</dcterms:created>
  <dcterms:modified xsi:type="dcterms:W3CDTF">2026-10-14T08:33:43Z</dcterms:modified>
</cp:coreProperties>
</file>